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D70370B7-2522-4645-889F-C4C5BCE3A261}" xr6:coauthVersionLast="47" xr6:coauthVersionMax="47" xr10:uidLastSave="{00000000-0000-0000-0000-000000000000}"/>
  <bookViews>
    <workbookView xWindow="-108" yWindow="-108" windowWidth="23256" windowHeight="13176" activeTab="4" xr2:uid="{346724B3-1C49-40AE-AA36-C77CF5D6DD09}"/>
  </bookViews>
  <sheets>
    <sheet name="Data" sheetId="1" r:id="rId1"/>
    <sheet name="Questions &amp; KPIs" sheetId="2" r:id="rId2"/>
    <sheet name="KPIs 1" sheetId="5" r:id="rId3"/>
    <sheet name="KPIs 2" sheetId="12" r:id="rId4"/>
    <sheet name="Dashboard" sheetId="8" r:id="rId5"/>
  </sheets>
  <definedNames>
    <definedName name="_xlchart.v5.0" hidden="1">'KPIs 2'!$N$22:$O$22</definedName>
    <definedName name="_xlchart.v5.1" hidden="1">'KPIs 2'!$N$23:$O$80</definedName>
    <definedName name="_xlchart.v5.2" hidden="1">'KPIs 2'!$P$22</definedName>
    <definedName name="_xlchart.v5.3" hidden="1">'KPIs 2'!$P$23:$P$80</definedName>
    <definedName name="_xlchart.v5.4" hidden="1">'KPIs 2'!$S$22:$T$22</definedName>
    <definedName name="_xlchart.v5.5" hidden="1">'KPIs 2'!$S$23:$T$80</definedName>
    <definedName name="_xlchart.v5.6" hidden="1">'KPIs 2'!$U$22</definedName>
    <definedName name="_xlchart.v5.7" hidden="1">'KPIs 2'!$U$23:$U$80</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2" l="1"/>
  <c r="U24" i="12"/>
  <c r="U25" i="12"/>
  <c r="U26" i="12"/>
  <c r="U27" i="12"/>
  <c r="U28" i="12"/>
  <c r="U29" i="12"/>
  <c r="U30" i="12"/>
  <c r="U31" i="12"/>
  <c r="U32" i="12"/>
  <c r="U33" i="12"/>
  <c r="U34" i="12"/>
  <c r="U35" i="12"/>
  <c r="U36" i="12"/>
  <c r="U37" i="12"/>
  <c r="U38" i="12"/>
  <c r="U39" i="12"/>
  <c r="U40" i="12"/>
  <c r="U41" i="12"/>
  <c r="U42" i="12"/>
  <c r="U43" i="12"/>
  <c r="U44" i="12"/>
  <c r="U45" i="12"/>
  <c r="U46" i="12"/>
  <c r="U47"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S32" i="12"/>
  <c r="T32" i="12"/>
  <c r="S33" i="12"/>
  <c r="T33" i="12"/>
  <c r="S34" i="12"/>
  <c r="T34" i="12"/>
  <c r="S35" i="12"/>
  <c r="T35" i="12"/>
  <c r="S36" i="12"/>
  <c r="T36" i="12"/>
  <c r="S37" i="12"/>
  <c r="T37" i="12"/>
  <c r="S38" i="12"/>
  <c r="T38" i="12"/>
  <c r="S39" i="12"/>
  <c r="T39" i="12"/>
  <c r="S40" i="12"/>
  <c r="T40" i="12"/>
  <c r="S41" i="12"/>
  <c r="T41" i="12"/>
  <c r="S42" i="12"/>
  <c r="T42" i="12"/>
  <c r="S43" i="12"/>
  <c r="T43" i="12"/>
  <c r="S44" i="12"/>
  <c r="T44" i="12"/>
  <c r="S45" i="12"/>
  <c r="T45" i="12"/>
  <c r="S46" i="12"/>
  <c r="T46" i="12"/>
  <c r="S47" i="12"/>
  <c r="T47" i="12"/>
  <c r="S48" i="12"/>
  <c r="T48" i="12"/>
  <c r="S49" i="12"/>
  <c r="T49" i="12"/>
  <c r="S50" i="12"/>
  <c r="T50" i="12"/>
  <c r="S51" i="12"/>
  <c r="T51" i="12"/>
  <c r="S52" i="12"/>
  <c r="T52" i="12"/>
  <c r="S53" i="12"/>
  <c r="T53" i="12"/>
  <c r="S54" i="12"/>
  <c r="T54" i="12"/>
  <c r="S55" i="12"/>
  <c r="T55" i="12"/>
  <c r="S56" i="12"/>
  <c r="T56" i="12"/>
  <c r="S57" i="12"/>
  <c r="T57" i="12"/>
  <c r="S58" i="12"/>
  <c r="T58" i="12"/>
  <c r="S59" i="12"/>
  <c r="T59" i="12"/>
  <c r="S60" i="12"/>
  <c r="T60" i="12"/>
  <c r="S61" i="12"/>
  <c r="T61" i="12"/>
  <c r="S62" i="12"/>
  <c r="T62" i="12"/>
  <c r="S63" i="12"/>
  <c r="T63" i="12"/>
  <c r="S64" i="12"/>
  <c r="T64" i="12"/>
  <c r="S65" i="12"/>
  <c r="T65" i="12"/>
  <c r="S66" i="12"/>
  <c r="T66" i="12"/>
  <c r="S67" i="12"/>
  <c r="T67" i="12"/>
  <c r="S68" i="12"/>
  <c r="T68" i="12"/>
  <c r="S69" i="12"/>
  <c r="T69" i="12"/>
  <c r="S70" i="12"/>
  <c r="T70" i="12"/>
  <c r="S71" i="12"/>
  <c r="T71" i="12"/>
  <c r="S72" i="12"/>
  <c r="T72" i="12"/>
  <c r="S73" i="12"/>
  <c r="T73" i="12"/>
  <c r="S74" i="12"/>
  <c r="T74" i="12"/>
  <c r="S75" i="12"/>
  <c r="T75" i="12"/>
  <c r="S76" i="12"/>
  <c r="T76" i="12"/>
  <c r="S77" i="12"/>
  <c r="T77" i="12"/>
  <c r="S78" i="12"/>
  <c r="T78" i="12"/>
  <c r="S79" i="12"/>
  <c r="T79" i="12"/>
  <c r="S80" i="12"/>
  <c r="T80" i="12"/>
  <c r="S23" i="12"/>
  <c r="T23" i="12"/>
  <c r="S24" i="12"/>
  <c r="T24" i="12"/>
  <c r="S25" i="12"/>
  <c r="T25" i="12"/>
  <c r="S26" i="12"/>
  <c r="T26" i="12"/>
  <c r="S27" i="12"/>
  <c r="T27" i="12"/>
  <c r="S28" i="12"/>
  <c r="T28" i="12"/>
  <c r="S29" i="12"/>
  <c r="T29" i="12"/>
  <c r="S30" i="12"/>
  <c r="T30" i="12"/>
  <c r="S31" i="12"/>
  <c r="T31" i="12"/>
  <c r="T22" i="12"/>
  <c r="S22" i="12"/>
  <c r="N26" i="12"/>
  <c r="O26" i="12"/>
  <c r="P26" i="12"/>
  <c r="N27" i="12"/>
  <c r="O27" i="12"/>
  <c r="P27" i="12"/>
  <c r="N28" i="12"/>
  <c r="O28" i="12"/>
  <c r="P28" i="12"/>
  <c r="N29" i="12"/>
  <c r="O29" i="12"/>
  <c r="P29" i="12"/>
  <c r="N30" i="12"/>
  <c r="O30" i="12"/>
  <c r="P30" i="12"/>
  <c r="N31" i="12"/>
  <c r="O31" i="12"/>
  <c r="P31" i="12"/>
  <c r="N32" i="12"/>
  <c r="O32" i="12"/>
  <c r="P32" i="12"/>
  <c r="N33" i="12"/>
  <c r="O33" i="12"/>
  <c r="P33" i="12"/>
  <c r="N34" i="12"/>
  <c r="O34" i="12"/>
  <c r="P34" i="12"/>
  <c r="N35" i="12"/>
  <c r="O35" i="12"/>
  <c r="P35" i="12"/>
  <c r="N36" i="12"/>
  <c r="O36" i="12"/>
  <c r="P36" i="12"/>
  <c r="N37" i="12"/>
  <c r="O37" i="12"/>
  <c r="P37" i="12"/>
  <c r="N38" i="12"/>
  <c r="O38" i="12"/>
  <c r="P38" i="12"/>
  <c r="N39" i="12"/>
  <c r="O39" i="12"/>
  <c r="P39" i="12"/>
  <c r="N40" i="12"/>
  <c r="O40" i="12"/>
  <c r="P40" i="12"/>
  <c r="N41" i="12"/>
  <c r="O41" i="12"/>
  <c r="P41" i="12"/>
  <c r="N42" i="12"/>
  <c r="O42" i="12"/>
  <c r="P42" i="12"/>
  <c r="N43" i="12"/>
  <c r="O43" i="12"/>
  <c r="P43" i="12"/>
  <c r="N44" i="12"/>
  <c r="O44" i="12"/>
  <c r="P44" i="12"/>
  <c r="N45" i="12"/>
  <c r="O45" i="12"/>
  <c r="P45" i="12"/>
  <c r="N46" i="12"/>
  <c r="O46" i="12"/>
  <c r="P46" i="12"/>
  <c r="N47" i="12"/>
  <c r="O47" i="12"/>
  <c r="P47" i="12"/>
  <c r="N48" i="12"/>
  <c r="O48" i="12"/>
  <c r="P48" i="12"/>
  <c r="N49" i="12"/>
  <c r="O49" i="12"/>
  <c r="P49" i="12"/>
  <c r="N50" i="12"/>
  <c r="O50" i="12"/>
  <c r="P50" i="12"/>
  <c r="N51" i="12"/>
  <c r="O51" i="12"/>
  <c r="P51" i="12"/>
  <c r="N52" i="12"/>
  <c r="O52" i="12"/>
  <c r="P52" i="12"/>
  <c r="N53" i="12"/>
  <c r="O53" i="12"/>
  <c r="P53" i="12"/>
  <c r="N54" i="12"/>
  <c r="O54" i="12"/>
  <c r="P54" i="12"/>
  <c r="N55" i="12"/>
  <c r="O55" i="12"/>
  <c r="P55" i="12"/>
  <c r="N56" i="12"/>
  <c r="O56" i="12"/>
  <c r="P56" i="12"/>
  <c r="N57" i="12"/>
  <c r="O57" i="12"/>
  <c r="P57" i="12"/>
  <c r="N58" i="12"/>
  <c r="O58" i="12"/>
  <c r="P58" i="12"/>
  <c r="N59" i="12"/>
  <c r="O59" i="12"/>
  <c r="P59" i="12"/>
  <c r="N60" i="12"/>
  <c r="O60" i="12"/>
  <c r="P60" i="12"/>
  <c r="N61" i="12"/>
  <c r="O61" i="12"/>
  <c r="P61" i="12"/>
  <c r="N62" i="12"/>
  <c r="O62" i="12"/>
  <c r="P62" i="12"/>
  <c r="N63" i="12"/>
  <c r="O63" i="12"/>
  <c r="P63" i="12"/>
  <c r="N64" i="12"/>
  <c r="O64" i="12"/>
  <c r="P64" i="12"/>
  <c r="N65" i="12"/>
  <c r="O65" i="12"/>
  <c r="P65" i="12"/>
  <c r="N66" i="12"/>
  <c r="O66" i="12"/>
  <c r="P66" i="12"/>
  <c r="N67" i="12"/>
  <c r="O67" i="12"/>
  <c r="P67" i="12"/>
  <c r="N68" i="12"/>
  <c r="O68" i="12"/>
  <c r="P68" i="12"/>
  <c r="N69" i="12"/>
  <c r="O69" i="12"/>
  <c r="P69" i="12"/>
  <c r="N70" i="12"/>
  <c r="O70" i="12"/>
  <c r="P70" i="12"/>
  <c r="N71" i="12"/>
  <c r="O71" i="12"/>
  <c r="P71" i="12"/>
  <c r="N72" i="12"/>
  <c r="O72" i="12"/>
  <c r="P72" i="12"/>
  <c r="N73" i="12"/>
  <c r="O73" i="12"/>
  <c r="P73" i="12"/>
  <c r="N74" i="12"/>
  <c r="O74" i="12"/>
  <c r="P74" i="12"/>
  <c r="N75" i="12"/>
  <c r="O75" i="12"/>
  <c r="P75" i="12"/>
  <c r="N76" i="12"/>
  <c r="O76" i="12"/>
  <c r="P76" i="12"/>
  <c r="N77" i="12"/>
  <c r="O77" i="12"/>
  <c r="P77" i="12"/>
  <c r="N78" i="12"/>
  <c r="O78" i="12"/>
  <c r="P78" i="12"/>
  <c r="N79" i="12"/>
  <c r="O79" i="12"/>
  <c r="P79" i="12"/>
  <c r="N80" i="12"/>
  <c r="O80" i="12"/>
  <c r="P80" i="12"/>
  <c r="O22" i="12"/>
  <c r="O23" i="12"/>
  <c r="P23" i="12"/>
  <c r="O24" i="12"/>
  <c r="P24" i="12"/>
  <c r="O25" i="12"/>
  <c r="P25" i="12"/>
  <c r="N24" i="12"/>
  <c r="N25" i="12"/>
  <c r="N23" i="12"/>
  <c r="N22" i="12"/>
  <c r="I10" i="5"/>
  <c r="H10" i="5"/>
  <c r="G10" i="5"/>
  <c r="F10" i="5"/>
  <c r="E10" i="5"/>
  <c r="A1" i="8" a="1"/>
  <c r="A1" i="8" s="1"/>
  <c r="M2" i="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<sst xmlns="http://schemas.openxmlformats.org/spreadsheetml/2006/main" count="14622" uniqueCount="2534">
  <si>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</si>
  <si>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</si>
  <si>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</si>
  <si>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</si>
  <si>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</si>
  <si>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</si>
  <si>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</si>
  <si>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</si>
  <si>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</si>
  <si>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</si>
  <si>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</si>
  <si>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</si>
  <si>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</si>
  <si>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</si>
  <si>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</si>
  <si>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</si>
  <si>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</si>
  <si>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</si>
  <si>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</si>
  <si>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</si>
  <si>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</si>
  <si>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</si>
  <si>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</si>
  <si>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</si>
  <si>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</si>
  <si>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</si>
  <si>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</si>
  <si>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</si>
  <si>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</si>
  <si>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</si>
  <si>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</si>
  <si>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</si>
  <si>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</si>
  <si>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</si>
  <si>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</si>
  <si>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</si>
  <si>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</si>
  <si>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</si>
  <si>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</si>
  <si>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</si>
  <si>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</si>
  <si>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</si>
  <si>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</si>
  <si>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</si>
  <si>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</si>
  <si>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</si>
  <si>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</si>
  <si>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</si>
  <si>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</si>
  <si>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</si>
  <si>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</si>
  <si>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</si>
  <si>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</si>
  <si>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</si>
  <si>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</si>
  <si>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</si>
  <si>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</si>
  <si>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</si>
  <si>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</si>
  <si>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</si>
  <si>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</si>
  <si>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</si>
  <si>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</si>
  <si>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</si>
  <si>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</si>
  <si>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</si>
  <si>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</si>
  <si>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</si>
  <si>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</si>
  <si>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</si>
  <si>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</si>
  <si>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</si>
  <si>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</si>
  <si>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</si>
  <si>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</si>
  <si>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</si>
  <si>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</si>
  <si>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</si>
  <si>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</si>
  <si>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</si>
  <si>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</si>
  <si>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</si>
  <si>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</si>
  <si>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</si>
  <si>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</si>
  <si>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</si>
  <si>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</si>
  <si>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</si>
  <si>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</si>
  <si>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</si>
  <si>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</si>
  <si>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</si>
  <si>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</si>
  <si>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</si>
  <si>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</si>
  <si>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</si>
  <si>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</si>
  <si>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</si>
  <si>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</si>
  <si>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</si>
  <si>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</si>
  <si>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</si>
  <si>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</si>
  <si>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</si>
  <si>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</si>
  <si>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</si>
  <si>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</si>
  <si>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</si>
  <si>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</si>
  <si>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</si>
  <si>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</si>
  <si>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</si>
  <si>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</si>
  <si>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</si>
  <si>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</si>
  <si>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</si>
  <si>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</si>
  <si>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</si>
  <si>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</si>
  <si>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</si>
  <si>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</si>
  <si>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</si>
  <si>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</si>
  <si>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</si>
  <si>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</si>
  <si>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</si>
  <si>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</si>
  <si>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</si>
  <si>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</si>
  <si>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</si>
  <si>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</si>
  <si>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</si>
  <si>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</si>
  <si>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</si>
  <si>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</si>
  <si>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</si>
  <si>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</si>
  <si>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</si>
  <si>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</si>
  <si>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</si>
  <si>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</si>
  <si>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</si>
  <si>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</si>
  <si>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</si>
  <si>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</si>
  <si>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</si>
  <si>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</si>
  <si>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</si>
  <si>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</si>
  <si>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</si>
  <si>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</si>
  <si>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</si>
  <si>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</si>
  <si>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</si>
  <si>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</si>
  <si>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</si>
  <si>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</si>
  <si>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</si>
  <si>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</si>
  <si>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</si>
  <si>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</si>
  <si>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</si>
  <si>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</si>
  <si>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</si>
  <si>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</si>
  <si>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</si>
  <si>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</si>
  <si>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</si>
  <si>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</si>
  <si>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</si>
  <si>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</si>
  <si>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</si>
  <si>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</si>
  <si>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</si>
  <si>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</si>
  <si>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</si>
  <si>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</si>
  <si>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</si>
  <si>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</si>
  <si>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</si>
  <si>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</si>
  <si>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</si>
  <si>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</si>
  <si>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</si>
  <si>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</si>
  <si>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</si>
  <si>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</si>
  <si>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</si>
  <si>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</si>
  <si>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</si>
  <si>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</si>
  <si>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</si>
  <si>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</si>
  <si>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</si>
  <si>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</si>
  <si>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</si>
  <si>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</si>
  <si>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</si>
  <si>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</si>
  <si>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</si>
  <si>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</si>
  <si>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</si>
  <si>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</si>
  <si>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</si>
  <si>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</si>
  <si>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</si>
  <si>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</si>
  <si>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</si>
  <si>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</si>
  <si>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</si>
  <si>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</si>
  <si>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</si>
  <si>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</si>
  <si>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</si>
  <si>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</si>
  <si>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</si>
  <si>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</si>
  <si>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</si>
  <si>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</si>
  <si>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</si>
  <si>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</si>
  <si>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</si>
  <si>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</si>
  <si>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</si>
  <si>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</si>
  <si>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</si>
  <si>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</si>
  <si>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</si>
  <si>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</si>
  <si>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</si>
  <si>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</si>
  <si>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</si>
  <si>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</si>
  <si>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</si>
  <si>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</si>
  <si>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</si>
  <si>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</si>
  <si>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</si>
  <si>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</si>
  <si>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</si>
  <si>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</si>
  <si>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</si>
  <si>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</si>
  <si>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</si>
  <si>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</si>
  <si>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</si>
  <si>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</si>
  <si>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</si>
  <si>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</si>
  <si>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</si>
  <si>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</si>
  <si>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</si>
  <si>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</si>
  <si>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</si>
  <si>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</si>
  <si>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</si>
  <si>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</si>
  <si>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</si>
  <si>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</si>
  <si>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</si>
  <si>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</si>
  <si>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</si>
  <si>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</si>
  <si>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</si>
  <si>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</si>
  <si>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</si>
  <si>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</si>
  <si>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</si>
  <si>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</si>
  <si>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</si>
  <si>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</si>
  <si>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</si>
  <si>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</si>
  <si>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</si>
  <si>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</si>
  <si>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</si>
  <si>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</si>
  <si>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</si>
  <si>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</si>
  <si>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</si>
  <si>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</si>
  <si>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</si>
  <si>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</si>
  <si>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</si>
  <si>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</si>
  <si>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</si>
  <si>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</si>
  <si>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</si>
  <si>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</si>
  <si>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</si>
  <si>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</si>
  <si>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</si>
  <si>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</si>
  <si>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</si>
  <si>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</si>
  <si>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</si>
  <si>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</si>
  <si>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</si>
  <si>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</si>
  <si>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</si>
  <si>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</si>
  <si>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</si>
  <si>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</si>
  <si>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</si>
  <si>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</si>
  <si>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</si>
  <si>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</si>
  <si>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</si>
  <si>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</si>
  <si>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</si>
  <si>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</si>
  <si>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</si>
  <si>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</si>
  <si>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</si>
  <si>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</si>
  <si>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</si>
  <si>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</si>
  <si>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</si>
  <si>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</si>
  <si>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</si>
  <si>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</si>
  <si>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</si>
  <si>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</si>
  <si>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</si>
  <si>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</si>
  <si>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</si>
  <si>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</si>
  <si>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</si>
  <si>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</si>
  <si>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</si>
  <si>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</si>
  <si>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</si>
  <si>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</si>
  <si>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</si>
  <si>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</si>
  <si>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</si>
  <si>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</si>
  <si>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</si>
  <si>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</si>
  <si>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</si>
  <si>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</si>
  <si>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</si>
  <si>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</si>
  <si>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</si>
  <si>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</si>
  <si>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</si>
  <si>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</si>
  <si>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</si>
  <si>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</si>
  <si>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</si>
  <si>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</si>
  <si>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</si>
  <si>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</si>
  <si>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</si>
  <si>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</si>
  <si>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</si>
  <si>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</si>
  <si>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</si>
  <si>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</si>
  <si>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</si>
  <si>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</si>
  <si>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</si>
  <si>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</si>
  <si>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</si>
  <si>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</si>
  <si>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</si>
  <si>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</si>
  <si>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</si>
  <si>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</si>
  <si>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</si>
  <si>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</si>
  <si>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</si>
  <si>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</si>
  <si>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</si>
  <si>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</si>
  <si>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</si>
  <si>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</si>
  <si>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</si>
  <si>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</si>
  <si>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</si>
  <si>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</si>
  <si>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</si>
  <si>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</si>
  <si>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</si>
  <si>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</si>
  <si>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</si>
  <si>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</si>
  <si>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</si>
  <si>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</si>
  <si>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</si>
  <si>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</si>
  <si>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</si>
  <si>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</si>
  <si>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</si>
  <si>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</si>
  <si>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</si>
  <si>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</si>
  <si>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</si>
  <si>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</si>
  <si>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</si>
  <si>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</si>
  <si>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</si>
  <si>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</si>
  <si>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</si>
  <si>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</si>
  <si>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</si>
  <si>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</si>
  <si>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</si>
  <si>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</si>
  <si>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</si>
  <si>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</si>
  <si>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</si>
  <si>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</si>
  <si>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</si>
  <si>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</si>
  <si>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</si>
  <si>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</si>
  <si>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</si>
  <si>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</si>
  <si>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</si>
  <si>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</si>
  <si>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</si>
  <si>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</si>
  <si>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</si>
  <si>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</si>
  <si>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</si>
  <si>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</si>
  <si>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</si>
  <si>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</si>
  <si>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</si>
  <si>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</si>
  <si>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</si>
  <si>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</si>
  <si>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</si>
  <si>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</si>
  <si>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</si>
  <si>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</si>
  <si>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</si>
  <si>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</si>
  <si>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</si>
  <si>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</si>
  <si>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</si>
  <si>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</si>
  <si>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</si>
  <si>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</si>
  <si>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</si>
  <si>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</si>
  <si>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</si>
  <si>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</si>
  <si>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</si>
  <si>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</si>
  <si>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</si>
  <si>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</si>
  <si>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</si>
  <si>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</si>
  <si>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</si>
  <si>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</si>
  <si>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</si>
  <si>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</si>
  <si>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</si>
  <si>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</si>
  <si>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</si>
  <si>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</si>
  <si>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</si>
  <si>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</si>
  <si>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</si>
  <si>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</si>
  <si>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</si>
  <si>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</si>
  <si>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</si>
  <si>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</si>
  <si>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</si>
  <si>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</si>
  <si>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</si>
  <si>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</si>
  <si>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</si>
  <si>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</si>
  <si>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</si>
  <si>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</si>
  <si>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</si>
  <si>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</si>
  <si>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</si>
  <si>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</si>
  <si>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</si>
  <si>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</si>
  <si>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</si>
  <si>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</si>
  <si>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</si>
  <si>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</si>
  <si>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</si>
  <si>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</si>
  <si>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</si>
  <si>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</si>
  <si>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</si>
  <si>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</si>
  <si>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</si>
  <si>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</si>
  <si>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</si>
  <si>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</si>
  <si>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</si>
  <si>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</si>
  <si>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</si>
  <si>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</si>
  <si>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</si>
  <si>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</si>
  <si>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</si>
  <si>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</si>
  <si>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</si>
  <si>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</si>
  <si>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</si>
  <si>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</si>
  <si>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</si>
  <si>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</si>
  <si>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</si>
  <si>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</si>
  <si>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</si>
  <si>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</si>
  <si>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</si>
  <si>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</si>
  <si>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</si>
  <si>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</si>
  <si>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</si>
  <si>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</si>
  <si>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</si>
  <si>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</si>
  <si>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</si>
  <si>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</si>
  <si>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</si>
  <si>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</si>
  <si>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</si>
  <si>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</si>
  <si>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</si>
  <si>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</si>
  <si>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</si>
  <si>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</si>
  <si>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</si>
  <si>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</si>
  <si>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</si>
  <si>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</si>
  <si>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</si>
  <si>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</si>
  <si>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</si>
  <si>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</si>
  <si>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</si>
  <si>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</si>
  <si>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</si>
  <si>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</si>
  <si>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</si>
  <si>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</si>
  <si>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</si>
  <si>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</si>
  <si>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</si>
  <si>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</si>
  <si>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</si>
  <si>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</si>
  <si>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</si>
  <si>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</si>
  <si>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</si>
  <si>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</si>
  <si>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</si>
  <si>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</si>
  <si>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</si>
  <si>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</si>
  <si>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</si>
  <si>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</si>
  <si>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</si>
  <si>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</si>
  <si>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</si>
  <si>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</si>
  <si>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</si>
  <si>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</si>
  <si>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</si>
  <si>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</si>
  <si>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</si>
  <si>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</si>
  <si>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</si>
  <si>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</si>
  <si>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</si>
  <si>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</si>
  <si>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</si>
  <si>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</si>
  <si>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</si>
  <si>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</si>
  <si>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</si>
  <si>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</si>
  <si>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</si>
  <si>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</si>
  <si>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</si>
  <si>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</si>
  <si>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</si>
  <si>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</si>
  <si>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</si>
  <si>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</si>
  <si>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</si>
  <si>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</si>
  <si>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</si>
  <si>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</si>
  <si>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</si>
  <si>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</si>
  <si>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</si>
  <si>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</si>
  <si>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</si>
  <si>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</si>
  <si>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</si>
  <si>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</si>
  <si>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</si>
  <si>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</si>
  <si>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</si>
  <si>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</si>
  <si>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</si>
  <si>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</si>
  <si>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</si>
  <si>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</si>
  <si>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</si>
  <si>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</si>
  <si>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</si>
  <si>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</si>
  <si>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</si>
  <si>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</si>
  <si>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</si>
  <si>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</si>
  <si>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</si>
  <si>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</si>
  <si>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</si>
  <si>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</si>
  <si>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</si>
  <si>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</si>
  <si>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</si>
  <si>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</si>
  <si>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</si>
  <si>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</si>
  <si>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</si>
  <si>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</si>
  <si>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</si>
  <si>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</si>
  <si>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</si>
  <si>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</si>
  <si>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</si>
  <si>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</si>
  <si>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</si>
  <si>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</si>
  <si>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</si>
  <si>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</si>
  <si>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</si>
  <si>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</si>
  <si>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</si>
  <si>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</si>
  <si>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</si>
  <si>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</si>
  <si>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</si>
  <si>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</si>
  <si>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</si>
  <si>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</si>
  <si>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</si>
  <si>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</si>
  <si>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</si>
  <si>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</si>
  <si>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</si>
  <si>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</si>
  <si>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</si>
  <si>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</si>
  <si>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</si>
  <si>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</si>
  <si>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</si>
  <si>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</si>
  <si>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</si>
  <si>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</si>
  <si>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</si>
  <si>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</si>
  <si>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</si>
  <si>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</si>
  <si>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</si>
  <si>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</si>
  <si>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</si>
  <si>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</si>
  <si>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</si>
  <si>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</si>
  <si>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</si>
  <si>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</si>
  <si>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</si>
  <si>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</si>
  <si>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</si>
  <si>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</si>
  <si>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</si>
  <si>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</si>
  <si>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</si>
  <si>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</si>
  <si>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</si>
  <si>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</si>
  <si>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</si>
  <si>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</si>
  <si>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</si>
  <si>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</si>
  <si>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</si>
  <si>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</si>
  <si>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</si>
  <si>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</si>
  <si>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</si>
  <si>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</si>
  <si>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</si>
  <si>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</si>
  <si>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</si>
  <si>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</si>
  <si>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</si>
  <si>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</si>
  <si>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</si>
  <si>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</si>
  <si>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</si>
  <si>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</si>
  <si>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</si>
  <si>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</si>
  <si>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</si>
  <si>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</si>
  <si>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</si>
  <si>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</si>
  <si>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</si>
  <si>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</si>
  <si>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</si>
  <si>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</si>
  <si>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</si>
  <si>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</si>
  <si>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</si>
  <si>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</si>
  <si>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</si>
  <si>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</si>
  <si>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</si>
  <si>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</si>
  <si>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</si>
  <si>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</si>
  <si>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</si>
  <si>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</si>
  <si>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</si>
  <si>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</si>
  <si>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</si>
  <si>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</si>
  <si>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</si>
  <si>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</si>
  <si>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</si>
  <si>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</si>
  <si>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</si>
  <si>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</si>
  <si>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</si>
  <si>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</si>
  <si>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</si>
  <si>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</si>
  <si>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</si>
  <si>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</si>
  <si>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</si>
  <si>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</si>
  <si>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</si>
  <si>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</si>
  <si>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</si>
  <si>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</si>
  <si>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</si>
  <si>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</si>
  <si>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</si>
  <si>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</si>
  <si>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</si>
  <si>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</si>
  <si>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</si>
  <si>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</si>
  <si>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</si>
  <si>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</si>
  <si>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</si>
  <si>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</si>
  <si>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</si>
  <si>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</si>
  <si>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</si>
  <si>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</si>
  <si>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</si>
  <si>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</si>
  <si>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</si>
  <si>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</si>
  <si>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</si>
  <si>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</si>
  <si>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</si>
  <si>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</si>
  <si>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</si>
  <si>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</si>
  <si>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</si>
  <si>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</si>
  <si>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</si>
  <si>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</si>
  <si>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</si>
  <si>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</si>
  <si>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</si>
  <si>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</si>
  <si>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</si>
  <si>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</si>
  <si>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</si>
  <si>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</si>
  <si>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</si>
  <si>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</si>
  <si>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</si>
  <si>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</si>
  <si>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</si>
  <si>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</si>
  <si>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</si>
  <si>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</si>
  <si>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</si>
  <si>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</si>
  <si>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</si>
  <si>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</si>
  <si>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</si>
  <si>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</si>
  <si>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</si>
  <si>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</si>
  <si>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</si>
  <si>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</si>
  <si>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</si>
  <si>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</si>
  <si>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</si>
  <si>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</si>
  <si>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</si>
  <si>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</si>
  <si>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</si>
  <si>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</si>
  <si>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</si>
  <si>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</si>
  <si>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</si>
  <si>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</si>
  <si>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</si>
  <si>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</si>
  <si>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</si>
  <si>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</si>
  <si>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</si>
  <si>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</si>
  <si>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</si>
  <si>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</si>
  <si>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</si>
  <si>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</si>
  <si>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</si>
  <si>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</si>
  <si>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</si>
  <si>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</si>
  <si>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</si>
  <si>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</si>
  <si>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</si>
  <si>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</si>
  <si>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</si>
  <si>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</si>
  <si>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</si>
  <si>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</si>
  <si>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</si>
  <si>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</si>
  <si>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</si>
  <si>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</si>
  <si>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</si>
  <si>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</si>
  <si>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</si>
  <si>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</si>
  <si>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</si>
  <si>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</si>
  <si>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</si>
  <si>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</si>
  <si>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</si>
  <si>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</si>
  <si>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</si>
  <si>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</si>
  <si>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</si>
  <si>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</si>
  <si>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</si>
  <si>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</si>
  <si>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</si>
  <si>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</si>
  <si>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</si>
  <si>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</si>
  <si>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</si>
  <si>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</si>
  <si>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</si>
  <si>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</si>
  <si>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</si>
  <si>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</si>
  <si>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</si>
  <si>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</si>
  <si>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</si>
  <si>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</si>
  <si>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</si>
  <si>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</si>
  <si>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</si>
  <si>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</si>
  <si>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</si>
  <si>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</si>
  <si>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</si>
  <si>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</si>
  <si>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</si>
  <si>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</si>
  <si>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</si>
  <si>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</si>
  <si>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</si>
  <si>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</si>
  <si>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</si>
  <si>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</si>
  <si>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</si>
  <si>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</si>
  <si>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</si>
  <si>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</si>
  <si>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</si>
  <si>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</si>
  <si>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</si>
  <si>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</si>
  <si>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</si>
  <si>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</si>
  <si>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</si>
  <si>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</si>
  <si>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</si>
  <si>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</si>
  <si>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</si>
  <si>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</si>
  <si>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</si>
  <si>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</si>
  <si>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</si>
  <si>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</si>
  <si>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</si>
  <si>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</si>
  <si>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</si>
  <si>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</si>
  <si>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</si>
  <si>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</si>
  <si>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</si>
  <si>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</si>
  <si>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</si>
  <si>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</si>
  <si>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</si>
  <si>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</si>
  <si>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</si>
  <si>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</si>
  <si>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</si>
  <si>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</si>
  <si>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</si>
  <si>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</si>
  <si>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</si>
  <si>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</si>
  <si>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</si>
  <si>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</si>
  <si>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</si>
  <si>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</si>
  <si>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</si>
  <si>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</si>
  <si>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</si>
  <si>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</si>
  <si>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</si>
  <si>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</si>
  <si>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</si>
  <si>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</si>
  <si>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</si>
  <si>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</si>
  <si>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</si>
  <si>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</si>
  <si>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</si>
  <si>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</si>
  <si>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</si>
  <si>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</si>
  <si>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</si>
  <si>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</si>
  <si>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</si>
  <si>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</si>
  <si>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</si>
  <si>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</si>
  <si>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</si>
  <si>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</si>
  <si>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</si>
  <si>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</si>
  <si>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</si>
  <si>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</si>
  <si>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</si>
  <si>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</si>
  <si>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</si>
  <si>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</si>
  <si>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</si>
  <si>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</si>
  <si>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</si>
  <si>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</si>
  <si>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</si>
  <si>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</si>
  <si>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</si>
  <si>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</si>
  <si>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</si>
  <si>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</si>
  <si>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</si>
  <si>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</si>
  <si>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</si>
  <si>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</si>
  <si>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</si>
  <si>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</si>
  <si>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</si>
  <si>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</si>
  <si>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</si>
  <si>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</si>
  <si>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</si>
  <si>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</si>
  <si>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</si>
  <si>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</si>
  <si>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</si>
  <si>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</si>
  <si>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</si>
  <si>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</si>
  <si>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</si>
  <si>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</si>
  <si>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</si>
  <si>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</si>
  <si>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</si>
  <si>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</si>
  <si>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</si>
  <si>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</si>
  <si>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</si>
  <si>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</si>
  <si>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</si>
  <si>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</si>
  <si>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</si>
  <si>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</si>
  <si>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</si>
  <si>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</si>
  <si>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</si>
  <si>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</si>
  <si>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</si>
  <si>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</si>
  <si>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</si>
  <si>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</si>
  <si>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</si>
  <si>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</si>
  <si>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</si>
  <si>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</si>
  <si>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</si>
  <si>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</si>
  <si>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</si>
  <si>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</si>
  <si>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</si>
  <si>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</si>
  <si>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</si>
  <si>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</si>
  <si>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</si>
  <si>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</si>
  <si>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</si>
  <si>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</si>
  <si>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</si>
  <si>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</si>
  <si>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</si>
  <si>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</si>
  <si>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</si>
  <si>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</si>
  <si>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</si>
  <si>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</si>
  <si>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</si>
  <si>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</si>
  <si>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</si>
  <si>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</si>
  <si>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</si>
  <si>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</si>
  <si>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</si>
  <si>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</si>
  <si>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</si>
  <si>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</si>
  <si>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</si>
  <si>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</si>
  <si>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</si>
  <si>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</si>
  <si>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</si>
  <si>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</si>
  <si>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</si>
  <si>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</si>
  <si>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</si>
  <si>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</si>
  <si>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</si>
  <si>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</si>
  <si>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</si>
  <si>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</si>
  <si>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</si>
  <si>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</si>
  <si>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</si>
  <si>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</si>
  <si>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</si>
  <si>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</si>
  <si>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</si>
  <si>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</si>
  <si>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</si>
  <si>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</si>
  <si>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</si>
  <si>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</si>
  <si>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</si>
  <si>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</si>
  <si>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</si>
  <si>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</si>
  <si>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</si>
  <si>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</si>
  <si>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</si>
  <si>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</si>
  <si>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</si>
  <si>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</si>
  <si>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</si>
  <si>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</si>
  <si>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</si>
  <si>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</si>
  <si>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</si>
  <si>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</si>
  <si>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</si>
  <si>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</si>
  <si>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</si>
  <si>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</si>
  <si>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</si>
  <si>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</si>
  <si>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</si>
  <si>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</si>
  <si>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</si>
  <si>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</si>
  <si>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</si>
  <si>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</si>
  <si>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</si>
  <si>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</si>
  <si>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</si>
  <si>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</si>
  <si>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</si>
  <si>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</si>
  <si>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</si>
  <si>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</si>
  <si>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</si>
  <si>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</si>
  <si>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</si>
  <si>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</si>
  <si>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</si>
  <si>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</si>
  <si>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</si>
  <si>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</si>
  <si>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</si>
  <si>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</si>
  <si>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</si>
  <si>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</si>
  <si>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</si>
  <si>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</si>
  <si>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</si>
  <si>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</si>
  <si>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</si>
  <si>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</si>
  <si>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</si>
  <si>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</si>
  <si>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</si>
  <si>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</si>
  <si>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</si>
  <si>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</si>
  <si>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</si>
  <si>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</si>
  <si>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</si>
  <si>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</si>
  <si>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</si>
  <si>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</si>
  <si>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</si>
  <si>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</si>
  <si>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</si>
  <si>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</si>
  <si>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</si>
  <si>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</si>
  <si>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</si>
  <si>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</si>
  <si>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</si>
  <si>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</si>
  <si>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</si>
  <si>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</si>
  <si>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</si>
  <si>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</si>
  <si>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</si>
  <si>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</si>
  <si>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</si>
  <si>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</si>
  <si>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</si>
  <si>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</si>
  <si>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</si>
  <si>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</si>
  <si>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</si>
  <si>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</si>
  <si>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</si>
  <si>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</si>
  <si>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</si>
  <si>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</si>
  <si>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</si>
  <si>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</si>
  <si>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</si>
  <si>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</si>
  <si>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</si>
  <si>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</si>
  <si>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</si>
  <si>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</si>
  <si>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</si>
  <si>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</si>
  <si>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</si>
  <si>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</si>
  <si>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</si>
  <si>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</si>
  <si>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</si>
  <si>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</si>
  <si>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</si>
  <si>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</si>
  <si>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</si>
  <si>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</si>
  <si>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</si>
  <si>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</si>
  <si>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</si>
  <si>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</si>
  <si>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</si>
  <si>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</si>
  <si>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</si>
  <si>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</si>
  <si>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</si>
  <si>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</si>
  <si>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</si>
  <si>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</si>
  <si>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</si>
  <si>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</si>
  <si>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</si>
  <si>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</si>
  <si>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</si>
  <si>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</si>
  <si>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</si>
  <si>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</si>
  <si>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</si>
  <si>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</si>
  <si>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</si>
  <si>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</si>
  <si>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</si>
  <si>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</si>
  <si>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</si>
  <si>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</si>
  <si>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</si>
  <si>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</si>
  <si>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</si>
  <si>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</si>
  <si>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</si>
  <si>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</si>
  <si>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</si>
  <si>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</si>
  <si>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</si>
  <si>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</si>
  <si>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</si>
  <si>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</si>
  <si>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</si>
  <si>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</si>
  <si>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</si>
  <si>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</si>
  <si>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</si>
  <si>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</si>
  <si>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</si>
  <si>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</si>
  <si>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</si>
  <si>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</si>
  <si>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</si>
  <si>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</si>
  <si>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</si>
  <si>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</si>
  <si>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</si>
  <si>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</si>
  <si>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</si>
  <si>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</si>
  <si>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</si>
  <si>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</si>
  <si>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</si>
  <si>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</si>
  <si>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</si>
  <si>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</si>
  <si>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</si>
  <si>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</si>
  <si>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</si>
  <si>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</si>
  <si>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</si>
  <si>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</si>
  <si>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</si>
  <si>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</si>
  <si>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</si>
  <si>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</si>
  <si>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</si>
  <si>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</si>
  <si>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</si>
  <si>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</si>
  <si>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</si>
  <si>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</si>
  <si>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</si>
  <si>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</si>
  <si>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</si>
  <si>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</si>
  <si>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</si>
  <si>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</si>
  <si>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</si>
  <si>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</si>
  <si>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</si>
  <si>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</si>
  <si>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</si>
  <si>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</si>
  <si>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</si>
  <si>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</si>
  <si>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</si>
  <si>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</si>
  <si>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</si>
  <si>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</si>
  <si>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</si>
  <si>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</si>
  <si>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</si>
  <si>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</si>
  <si>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</si>
  <si>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</si>
  <si>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</si>
  <si>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</si>
  <si>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</si>
  <si>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</si>
  <si>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</si>
  <si>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</si>
  <si>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</si>
  <si>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</si>
  <si>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</si>
  <si>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</si>
  <si>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</si>
  <si>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</si>
  <si>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</si>
  <si>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</si>
  <si>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</si>
  <si>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</si>
  <si>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</si>
  <si>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</si>
  <si>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</si>
  <si>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</si>
  <si>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</si>
  <si>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</si>
  <si>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</si>
  <si>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</si>
  <si>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</si>
  <si>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</si>
  <si>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</si>
  <si>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</si>
  <si>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</si>
  <si>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</si>
  <si>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</si>
  <si>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</si>
  <si>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</si>
  <si>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</si>
  <si>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</si>
  <si>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</si>
  <si>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</si>
  <si>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</si>
  <si>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</si>
  <si>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</si>
  <si>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</si>
  <si>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</si>
  <si>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</si>
  <si>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</si>
  <si>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</si>
  <si>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</si>
  <si>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</si>
  <si>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</si>
  <si>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</si>
  <si>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</si>
  <si>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</si>
  <si>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</si>
  <si>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</si>
  <si>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</si>
  <si>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</si>
  <si>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</si>
  <si>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</si>
  <si>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</si>
  <si>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</si>
  <si>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</si>
  <si>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</si>
  <si>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</si>
  <si>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</si>
  <si>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</si>
  <si>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</si>
  <si>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</si>
  <si>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</si>
  <si>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</si>
  <si>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</si>
  <si>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</si>
  <si>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</si>
  <si>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</si>
  <si>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</si>
  <si>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</si>
  <si>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</si>
  <si>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</si>
  <si>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</si>
  <si>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</si>
  <si>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</si>
  <si>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</si>
  <si>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</si>
  <si>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</si>
  <si>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</si>
  <si>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</si>
  <si>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</si>
  <si>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</si>
  <si>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</si>
  <si>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</si>
  <si>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</si>
  <si>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</si>
  <si>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</si>
  <si>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</si>
  <si>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</si>
  <si>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</si>
  <si>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</si>
  <si>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</si>
  <si>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</si>
  <si>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</si>
  <si>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</si>
  <si>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</si>
  <si>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</si>
  <si>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</si>
  <si>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</si>
  <si>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</si>
  <si>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</si>
  <si>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</si>
  <si>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</si>
  <si>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</si>
  <si>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</si>
  <si>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</si>
  <si>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</si>
  <si>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</si>
  <si>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</si>
  <si>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</si>
  <si>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</si>
  <si>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</si>
  <si>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</si>
  <si>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</si>
  <si>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</si>
  <si>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</si>
  <si>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</si>
  <si>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</si>
  <si>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</si>
  <si>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</si>
  <si>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</si>
  <si>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</si>
  <si>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</si>
  <si>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</si>
  <si>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</si>
  <si>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</si>
  <si>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</si>
  <si>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</si>
  <si>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</si>
  <si>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</si>
  <si>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</si>
  <si>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</si>
  <si>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</si>
  <si>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</si>
  <si>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</si>
  <si>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</si>
  <si>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</si>
  <si>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</si>
  <si>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</si>
  <si>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</si>
  <si>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</si>
  <si>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</si>
  <si>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</si>
  <si>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</si>
  <si>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</si>
  <si>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</si>
  <si>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</si>
  <si>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</si>
  <si>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</si>
  <si>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</si>
  <si>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</si>
  <si>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</si>
  <si>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</si>
  <si>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</si>
  <si>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</si>
  <si>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</si>
  <si>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</si>
  <si>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</si>
  <si>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</si>
  <si>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</si>
  <si>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</si>
  <si>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</si>
  <si>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</si>
  <si>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</si>
  <si>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</si>
  <si>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</si>
  <si>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</si>
  <si>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</si>
  <si>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</si>
  <si>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</si>
  <si>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</si>
  <si>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</si>
  <si>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</si>
  <si>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</si>
  <si>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</si>
  <si>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</si>
  <si>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</si>
  <si>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</si>
  <si>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</si>
  <si>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</si>
  <si>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</si>
  <si>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</si>
  <si>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</si>
  <si>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</si>
  <si>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</si>
  <si>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</si>
  <si>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</si>
  <si>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</si>
  <si>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</si>
  <si>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</si>
  <si>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</si>
  <si>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</si>
  <si>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</si>
  <si>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</si>
  <si>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</si>
  <si>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</si>
  <si>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</si>
  <si>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</si>
  <si>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</si>
  <si>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</si>
  <si>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</si>
  <si>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</si>
  <si>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</si>
  <si>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</si>
  <si>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</si>
  <si>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</si>
  <si>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</si>
  <si>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</si>
  <si>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</si>
  <si>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</si>
  <si>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</si>
  <si>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</si>
  <si>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</si>
  <si>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</si>
  <si>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</si>
  <si>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</si>
  <si>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</si>
  <si>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</si>
  <si>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</si>
  <si>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</si>
  <si>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</si>
  <si>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</si>
  <si>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</si>
  <si>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</si>
  <si>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</si>
  <si>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</si>
  <si>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</si>
  <si>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</si>
  <si>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</si>
  <si>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</si>
  <si>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</si>
  <si>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</si>
  <si>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</si>
  <si>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</si>
  <si>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</si>
  <si>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</si>
  <si>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</si>
  <si>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</si>
  <si>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</si>
  <si>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</si>
  <si>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</si>
  <si>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</si>
  <si>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</si>
  <si>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</si>
  <si>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</si>
  <si>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</si>
  <si>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</si>
  <si>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</si>
  <si>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</si>
  <si>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</si>
  <si>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</si>
  <si>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</si>
  <si>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</si>
  <si>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</si>
  <si>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</si>
  <si>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</si>
  <si>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</si>
  <si>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</si>
  <si>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</si>
  <si>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</si>
  <si>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</si>
  <si>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</si>
  <si>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</si>
  <si>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</si>
  <si>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</si>
  <si>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</si>
  <si>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</si>
  <si>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</si>
  <si>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</si>
  <si>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</si>
  <si>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</si>
  <si>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</si>
  <si>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</si>
  <si>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</si>
  <si>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</si>
  <si>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</si>
  <si>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</si>
  <si>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</si>
  <si>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</si>
  <si>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</si>
  <si>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</si>
  <si>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</si>
  <si>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</si>
  <si>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</si>
  <si>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</si>
  <si>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</si>
  <si>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</si>
  <si>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</si>
  <si>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</si>
  <si>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</si>
  <si>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</si>
  <si>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</si>
  <si>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</si>
  <si>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</si>
  <si>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</si>
  <si>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</si>
  <si>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</si>
  <si>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</si>
  <si>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</si>
  <si>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</si>
  <si>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</si>
  <si>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</si>
  <si>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</si>
  <si>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</si>
  <si>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</si>
  <si>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</si>
  <si>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</si>
  <si>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</si>
  <si>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</si>
  <si>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</si>
  <si>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</si>
  <si>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</si>
  <si>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</si>
  <si>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</si>
  <si>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</si>
  <si>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</si>
  <si>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</si>
  <si>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</si>
  <si>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</si>
  <si>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</si>
  <si>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</si>
  <si>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</si>
  <si>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</si>
  <si>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</si>
  <si>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</si>
  <si>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</si>
  <si>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</si>
  <si>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</si>
  <si>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</si>
  <si>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</si>
  <si>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</si>
  <si>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</si>
  <si>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</si>
  <si>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</si>
  <si>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</si>
  <si>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</si>
  <si>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</si>
  <si>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</si>
  <si>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</si>
  <si>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</si>
  <si>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</si>
  <si>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</si>
  <si>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</si>
  <si>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</si>
  <si>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</si>
  <si>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</si>
  <si>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</si>
  <si>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</si>
  <si>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</si>
  <si>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</si>
  <si>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</si>
  <si>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</si>
  <si>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</si>
  <si>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</si>
  <si>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</si>
  <si>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</si>
  <si>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</si>
  <si>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</si>
  <si>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</si>
  <si>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</si>
  <si>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</si>
  <si>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</si>
  <si>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</si>
  <si>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</si>
  <si>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</si>
  <si>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</si>
  <si>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</si>
  <si>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</si>
  <si>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</si>
  <si>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</si>
  <si>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</si>
  <si>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</si>
  <si>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</si>
  <si>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</si>
  <si>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</si>
  <si>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</si>
  <si>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</si>
  <si>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</si>
  <si>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</si>
  <si>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</si>
  <si>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</si>
  <si>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</si>
  <si>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</si>
  <si>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</si>
  <si>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</si>
  <si>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</si>
  <si>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</si>
  <si>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</si>
  <si>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</si>
  <si>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</si>
  <si>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</si>
  <si>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</si>
  <si>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</si>
  <si>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</si>
  <si>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</si>
  <si>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</si>
  <si>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</si>
  <si>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</si>
  <si>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</si>
  <si>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</si>
  <si>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</si>
  <si>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</si>
  <si>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</si>
  <si>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</si>
  <si>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</si>
  <si>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</si>
  <si>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</si>
  <si>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</si>
  <si>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</si>
  <si>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</si>
  <si>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</si>
  <si>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</si>
  <si>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</si>
  <si>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</si>
  <si>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</si>
  <si>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</si>
  <si>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</si>
  <si>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</si>
  <si>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</si>
  <si>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</si>
  <si>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</si>
  <si>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</si>
  <si>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</si>
  <si>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</si>
  <si>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</si>
  <si>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</si>
  <si>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</si>
  <si>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</si>
  <si>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</si>
  <si>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</si>
  <si>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</si>
  <si>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</si>
  <si>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</si>
  <si>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</si>
  <si>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</si>
  <si>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</si>
  <si>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</si>
  <si>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</si>
  <si>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</si>
  <si>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</si>
  <si>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</si>
  <si>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</si>
  <si>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</si>
  <si>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</si>
  <si>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</si>
  <si>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</si>
  <si>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</si>
  <si>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</si>
  <si>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</si>
  <si>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</si>
  <si>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</si>
  <si>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</si>
  <si>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</si>
  <si>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</si>
  <si>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</si>
  <si>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</si>
  <si>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</si>
  <si>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</si>
  <si>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</si>
  <si>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</si>
  <si>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</si>
  <si>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</si>
  <si>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</si>
  <si>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</si>
  <si>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</si>
  <si>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</si>
  <si>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</si>
  <si>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</si>
  <si>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</si>
  <si>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</si>
  <si>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</si>
  <si>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</si>
  <si>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</si>
  <si>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</si>
  <si>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</si>
  <si>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</si>
  <si>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</si>
  <si>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</si>
  <si>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</si>
  <si>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</si>
  <si>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</si>
  <si>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</si>
  <si>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</si>
  <si>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</si>
  <si>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</si>
  <si>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</si>
  <si>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</si>
  <si>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</si>
  <si>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</si>
  <si>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</si>
  <si>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</si>
  <si>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</si>
  <si>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</si>
  <si>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</si>
  <si>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</si>
  <si>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</si>
  <si>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</si>
  <si>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</si>
  <si>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</si>
  <si>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</si>
  <si>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</si>
  <si>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</si>
  <si>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</si>
  <si>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</si>
  <si>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</si>
  <si>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</si>
  <si>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</si>
  <si>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</si>
  <si>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</si>
  <si>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</si>
  <si>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</si>
  <si>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</si>
  <si>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</si>
  <si>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</si>
  <si>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</si>
  <si>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</si>
  <si>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</si>
  <si>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</si>
  <si>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</si>
  <si>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</si>
  <si>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</si>
  <si>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</si>
  <si>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</si>
  <si>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</si>
  <si>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</si>
  <si>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</si>
  <si>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</si>
  <si>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</si>
  <si>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</si>
  <si>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</si>
  <si>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</si>
  <si>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</si>
  <si>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</si>
  <si>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</si>
  <si>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</si>
  <si>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</si>
  <si>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</si>
  <si>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</si>
  <si>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</si>
  <si>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</si>
  <si>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</si>
  <si>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</si>
  <si>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</si>
  <si>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</si>
  <si>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</si>
  <si>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</si>
  <si>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</si>
  <si>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</si>
  <si>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</si>
  <si>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</si>
  <si>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</si>
  <si>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</si>
  <si>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</si>
  <si>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</si>
  <si>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</si>
  <si>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</si>
  <si>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</si>
  <si>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</si>
  <si>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</si>
  <si>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</si>
  <si>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</si>
  <si>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</si>
  <si>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</si>
  <si>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</si>
  <si>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</si>
  <si>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</si>
  <si>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</si>
  <si>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</si>
  <si>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</si>
  <si>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</si>
  <si>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</si>
  <si>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</si>
  <si>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</si>
  <si>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</si>
  <si>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</si>
  <si>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</si>
  <si>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</si>
  <si>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</si>
  <si>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</si>
  <si>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</si>
  <si>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</si>
  <si>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</si>
  <si>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</si>
  <si>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</si>
  <si>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</si>
  <si>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</si>
  <si>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</si>
  <si>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</si>
  <si>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</si>
  <si>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</si>
  <si>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</si>
  <si>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</si>
  <si>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</si>
  <si>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</si>
  <si>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</si>
  <si>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</si>
  <si>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</si>
  <si>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</si>
  <si>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</si>
  <si>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</si>
  <si>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</si>
  <si>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</si>
  <si>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</si>
  <si>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</si>
  <si>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</si>
  <si>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</si>
  <si>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</si>
  <si>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</si>
  <si>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</si>
  <si>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</si>
  <si>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</si>
  <si>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</si>
  <si>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</si>
  <si>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</si>
  <si>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</si>
  <si>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</si>
  <si>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</si>
  <si>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</si>
  <si>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</si>
  <si>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</si>
  <si>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</si>
  <si>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</si>
  <si>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</si>
  <si>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</si>
  <si>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</si>
  <si>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</si>
  <si>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</si>
  <si>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</si>
  <si>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</si>
  <si>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</si>
  <si>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</si>
  <si>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</si>
  <si>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</si>
  <si>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</si>
  <si>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</si>
  <si>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</si>
  <si>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</si>
  <si>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</si>
  <si>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</si>
  <si>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</si>
  <si>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</si>
  <si>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</si>
  <si>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</si>
  <si>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</si>
  <si>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</si>
  <si>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</si>
  <si>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</si>
  <si>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</si>
  <si>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</si>
  <si>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</si>
  <si>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</si>
  <si>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</si>
  <si>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</si>
  <si>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</si>
  <si>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</si>
  <si>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</si>
  <si>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</si>
  <si>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</si>
  <si>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</si>
  <si>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</si>
  <si>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</si>
  <si>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</si>
  <si>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</si>
  <si>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</si>
  <si>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</si>
  <si>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</si>
  <si>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</si>
  <si>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</si>
  <si>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</si>
  <si>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</si>
  <si>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</si>
  <si>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</si>
  <si>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</si>
  <si>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</si>
  <si>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</si>
  <si>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</si>
  <si>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</si>
  <si>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</si>
  <si>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</si>
  <si>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</si>
  <si>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</si>
  <si>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</si>
  <si>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</si>
  <si>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</si>
  <si>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</si>
  <si>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</si>
  <si>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</si>
  <si>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</si>
  <si>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</si>
  <si>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</si>
  <si>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</si>
  <si>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</si>
  <si>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</si>
  <si>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</si>
  <si>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</si>
  <si>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</si>
  <si>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</si>
  <si>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</si>
  <si>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</si>
  <si>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</si>
  <si>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</si>
  <si>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</si>
  <si>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</si>
  <si>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</si>
  <si>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</si>
  <si>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</si>
  <si>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</si>
  <si>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</si>
  <si>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</si>
  <si>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</si>
  <si>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</si>
  <si>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</si>
  <si>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</si>
  <si>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</si>
  <si>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</si>
  <si>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</si>
  <si>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</si>
  <si>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</si>
  <si>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</si>
  <si>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</si>
  <si>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</si>
  <si>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</si>
  <si>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</si>
  <si>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</si>
  <si>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</si>
  <si>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</si>
  <si>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</si>
  <si>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</si>
  <si>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</si>
  <si>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</si>
  <si>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</si>
  <si>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</si>
  <si>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</si>
  <si>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</si>
  <si>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</si>
  <si>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</si>
  <si>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</si>
  <si>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</si>
  <si>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</si>
  <si>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</si>
  <si>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</si>
  <si>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</si>
  <si>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</si>
  <si>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</si>
  <si>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</si>
  <si>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</si>
  <si>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</si>
  <si>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</si>
  <si>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</si>
  <si>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</si>
  <si>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</si>
  <si>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</si>
  <si>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</si>
  <si>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</si>
  <si>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</si>
  <si>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</si>
  <si>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</si>
  <si>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</si>
  <si>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</si>
  <si>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</si>
  <si>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</si>
  <si>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</si>
  <si>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</si>
  <si>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</si>
  <si>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</si>
  <si>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</si>
  <si>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</si>
  <si>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</si>
  <si>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</si>
  <si>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</si>
  <si>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</si>
  <si>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</si>
  <si>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</si>
  <si>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</si>
  <si>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</si>
  <si>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</si>
  <si>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</si>
  <si>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</si>
  <si>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</si>
  <si>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</si>
  <si>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</si>
  <si>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</si>
  <si>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</si>
  <si>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</si>
  <si>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</si>
  <si>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</si>
  <si>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</si>
  <si>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</si>
  <si>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</si>
  <si>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</si>
  <si>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</si>
  <si>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</si>
  <si>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</si>
  <si>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</si>
  <si>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</si>
  <si>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</si>
  <si>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</si>
  <si>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</si>
  <si>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</si>
  <si>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</si>
  <si>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</si>
  <si>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</si>
  <si>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</si>
  <si>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</si>
  <si>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</si>
  <si>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</si>
  <si>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</si>
  <si>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</si>
  <si>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</si>
  <si>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</si>
  <si>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</si>
  <si>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</si>
  <si>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</si>
  <si>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</si>
  <si>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</si>
  <si>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</si>
  <si>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</si>
  <si>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</si>
  <si>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</si>
  <si>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</si>
  <si>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</si>
  <si>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</si>
  <si>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</si>
  <si>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</si>
  <si>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</si>
  <si>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</si>
  <si>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</si>
  <si>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</si>
  <si>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</si>
  <si>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</si>
  <si>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</si>
  <si>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</si>
  <si>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</si>
  <si>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</si>
  <si>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</si>
  <si>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</si>
  <si>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</si>
  <si>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</si>
  <si>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</si>
  <si>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</si>
  <si>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</si>
  <si>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</si>
  <si>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</si>
  <si>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</si>
  <si>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</si>
  <si>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</si>
  <si>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</si>
  <si>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</si>
  <si>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</si>
  <si>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</si>
  <si>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</si>
  <si>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</si>
  <si>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</si>
  <si>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</si>
  <si>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</si>
  <si>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</si>
  <si>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</si>
  <si>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</si>
  <si>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</si>
  <si>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</si>
  <si>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</si>
  <si>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</si>
  <si>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</si>
  <si>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</si>
  <si>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</si>
  <si>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</si>
  <si>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</si>
  <si>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</si>
  <si>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</si>
  <si>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</si>
  <si>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</si>
  <si>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</si>
  <si>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</si>
  <si>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</si>
  <si>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</si>
  <si>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</si>
  <si>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</si>
  <si>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</si>
  <si>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</si>
  <si>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</si>
  <si>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</si>
  <si>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</si>
  <si>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</si>
  <si>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</si>
  <si>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</si>
  <si>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</si>
  <si>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</si>
  <si>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</si>
  <si>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</si>
  <si>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</si>
  <si>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</si>
  <si>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</si>
  <si>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</si>
  <si>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</si>
  <si>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</si>
  <si>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</si>
  <si>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</si>
  <si>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</si>
  <si>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</si>
  <si>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</si>
  <si>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</si>
  <si>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</si>
  <si>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</si>
  <si>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</si>
  <si>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</si>
  <si>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</si>
  <si>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</si>
  <si>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</si>
  <si>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</si>
  <si>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</si>
  <si>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</si>
  <si>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</si>
  <si>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</si>
  <si>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</si>
  <si>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</si>
  <si>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</si>
  <si>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</si>
  <si>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</si>
  <si>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</si>
  <si>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</si>
  <si>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</si>
  <si>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</si>
  <si>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</si>
  <si>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</si>
  <si>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</si>
  <si>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</si>
  <si>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</si>
  <si>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</si>
  <si>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</si>
  <si>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</si>
  <si>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</si>
  <si>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</si>
  <si>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</si>
  <si>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</si>
  <si>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</si>
  <si>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</si>
  <si>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</si>
  <si>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</si>
  <si>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</si>
  <si>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</si>
  <si>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</si>
  <si>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</si>
  <si>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</si>
  <si>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</si>
  <si>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</si>
  <si>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</si>
  <si>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</si>
  <si>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</si>
  <si>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</si>
  <si>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</si>
  <si>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</si>
  <si>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</si>
  <si>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</si>
  <si>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</si>
  <si>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</si>
  <si>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</si>
  <si>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</si>
  <si>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</si>
  <si>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</si>
  <si>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</si>
  <si>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</si>
  <si>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</si>
  <si>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</si>
  <si>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</si>
  <si>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</si>
  <si>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</si>
  <si>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</si>
  <si>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</si>
  <si>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</si>
  <si>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</si>
  <si>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</si>
  <si>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</si>
  <si>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</si>
  <si>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</si>
  <si>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</si>
  <si>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</si>
  <si>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</si>
  <si>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</si>
  <si>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</si>
  <si>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</si>
  <si>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</si>
  <si>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</si>
  <si>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</si>
  <si>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</si>
  <si>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</si>
  <si>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</si>
  <si>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</si>
  <si>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</si>
  <si>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</si>
  <si>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</si>
  <si>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</si>
  <si>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</si>
  <si>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</si>
  <si>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</si>
  <si>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</si>
  <si>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</si>
  <si>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</si>
  <si>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</si>
  <si>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</si>
  <si>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</si>
  <si>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</si>
  <si>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</si>
  <si>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</si>
  <si>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</si>
  <si>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</si>
  <si>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</si>
  <si>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</si>
  <si>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</si>
  <si>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</si>
  <si>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</si>
  <si>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</si>
  <si>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</si>
  <si>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</si>
  <si>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</si>
  <si>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</si>
  <si>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</si>
  <si>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</si>
  <si>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</si>
  <si>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</si>
  <si>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</si>
  <si>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</si>
  <si>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</si>
  <si>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</si>
  <si>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</si>
  <si>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</si>
  <si>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</si>
  <si>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</si>
  <si>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</si>
  <si>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</si>
  <si>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</si>
  <si>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</si>
  <si>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</si>
  <si>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</si>
  <si>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</si>
  <si>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</si>
  <si>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</si>
  <si>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</si>
  <si>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</si>
  <si>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</si>
  <si>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</si>
  <si>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</si>
  <si>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</si>
  <si>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</si>
  <si>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</si>
  <si>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</si>
  <si>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</si>
  <si>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</si>
  <si>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</si>
  <si>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</si>
  <si>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</si>
  <si>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</si>
  <si>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</si>
  <si>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</si>
  <si>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</si>
  <si>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</si>
  <si>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</si>
  <si>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</si>
  <si>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</si>
  <si>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</si>
  <si>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</si>
  <si>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</si>
  <si>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</si>
  <si>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</si>
  <si>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</si>
  <si>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</si>
  <si>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</si>
  <si>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</si>
  <si>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</si>
  <si>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</si>
  <si>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</si>
  <si>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</si>
  <si>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</si>
  <si>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</si>
  <si>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</si>
  <si>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</si>
  <si>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</si>
  <si>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</si>
  <si>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</si>
  <si>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</si>
  <si>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</si>
  <si>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</si>
  <si>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</si>
  <si>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</si>
  <si>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</si>
  <si>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</si>
  <si>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</si>
  <si>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</si>
  <si>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</si>
  <si>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</si>
  <si>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</si>
  <si>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</si>
  <si>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</si>
  <si>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</si>
  <si>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</si>
  <si>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</si>
  <si>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</si>
  <si>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</si>
  <si>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</si>
  <si>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</si>
  <si>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</si>
  <si>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</si>
  <si>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</si>
  <si>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</si>
  <si>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</si>
  <si>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</si>
  <si>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</si>
  <si>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</si>
  <si>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</si>
  <si>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</si>
  <si>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</si>
  <si>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</si>
  <si>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</si>
  <si>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</si>
  <si>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</si>
  <si>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</si>
  <si>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</si>
  <si>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</si>
  <si>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</si>
  <si>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</si>
  <si>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</si>
  <si>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</si>
  <si>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</si>
  <si>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</si>
  <si>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</si>
  <si>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</si>
  <si>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</si>
  <si>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</si>
  <si>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</si>
  <si>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</si>
  <si>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</si>
  <si>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</si>
  <si>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</si>
  <si>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</si>
  <si>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</si>
  <si>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</si>
  <si>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</si>
  <si>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</si>
  <si>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</si>
  <si>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</si>
  <si>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</si>
  <si>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</si>
  <si>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</si>
  <si>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</si>
  <si>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</si>
  <si>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</si>
  <si>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</si>
  <si>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</si>
  <si>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</si>
  <si>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</si>
  <si>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</si>
  <si>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</si>
  <si>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</si>
  <si>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</si>
  <si>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</si>
  <si>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</si>
  <si>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</si>
  <si>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</si>
  <si>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</si>
  <si>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</si>
  <si>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</si>
  <si>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</si>
  <si>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</si>
  <si>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</si>
  <si>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</si>
  <si>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</si>
  <si>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</si>
  <si>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</si>
  <si>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</si>
  <si>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</si>
  <si>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</si>
  <si>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</si>
  <si>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</si>
  <si>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</si>
  <si>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</si>
  <si>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</si>
  <si>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</si>
  <si>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</si>
  <si>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</si>
  <si>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</si>
  <si>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</si>
  <si>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</si>
  <si>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</si>
  <si>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</si>
  <si>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</si>
  <si>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</si>
  <si>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</si>
  <si>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</si>
  <si>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</si>
  <si>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</si>
  <si>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</si>
  <si>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</si>
  <si>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</si>
  <si>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</si>
  <si>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</si>
  <si>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</si>
  <si>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</si>
  <si>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</si>
  <si>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</si>
  <si>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</si>
  <si>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</si>
  <si>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</si>
  <si>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</si>
  <si>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</si>
  <si>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</si>
  <si>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</si>
  <si>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</si>
  <si>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</si>
  <si>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</si>
  <si>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</si>
  <si>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</si>
  <si>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</si>
  <si>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</si>
  <si>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</si>
  <si>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</si>
  <si>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</si>
  <si>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</si>
  <si>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</si>
  <si>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Sum of Quantity</t>
  </si>
  <si>
    <t>Count of TX ID</t>
  </si>
  <si>
    <t>Sum of Amount</t>
  </si>
  <si>
    <t>Average of Rating C</t>
  </si>
  <si>
    <t>Average of Days to Deliver</t>
  </si>
  <si>
    <t>Unknown</t>
  </si>
  <si>
    <t>Male</t>
  </si>
  <si>
    <t>Female</t>
  </si>
  <si>
    <t>Other</t>
  </si>
  <si>
    <t>Row Labels</t>
  </si>
  <si>
    <t>Column Labels</t>
  </si>
  <si>
    <t>6-10</t>
  </si>
  <si>
    <t>More than 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</si>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</sst>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5C]#,##0.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10" fontId="0" fillId="0" borderId="0" xfId="0" applyNumberFormat="1"/>
  </cellXfs>
  <cellStyles count="1">
    <cellStyle name="Normal" xfId="0" builtinId="0"/>
  </cellStyles>
  <dxfs count="38">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Sales Data Analysis.xlsx]KPIs 1!PivotTable5</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Last</a:t>
            </a:r>
            <a:r>
              <a:rPr lang="en-IN" baseline="0"/>
              <a:t> 13 Weeks Trend: Qty Vs Amt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 1'!$C$15</c:f>
              <c:strCache>
                <c:ptCount val="1"/>
                <c:pt idx="0">
                  <c:v>Sum of Quantity</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'KPIs 1'!$B$16:$B$28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'KPIs 1'!$C$16:$C$28</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ACC-4628-95B7-480C5B1A5B8E}"/>
            </c:ext>
          </c:extLst>
        </c:ser>
        <c:dLbls>
          <c:showLegendKey val="0"/>
          <c:showVal val="0"/>
          <c:showCatName val="0"/>
          <c:showSerName val="0"/>
          <c:showPercent val="0"/>
          <c:showBubbleSize val="0"/>
        </c:dLbls>
        <c:marker val="1"/>
        <c:smooth val="0"/>
        <c:axId val="1692172944"/>
        <c:axId val="1399745744"/>
      </c:lineChart>
      <c:lineChart>
        <c:grouping val="stacked"/>
        <c:varyColors val="0"/>
        <c:ser>
          <c:idx val="1"/>
          <c:order val="1"/>
          <c:tx>
            <c:strRef>
              <c:f>'KPIs 1'!$D$15</c:f>
              <c:strCache>
                <c:ptCount val="1"/>
                <c:pt idx="0">
                  <c:v>Sum of Amount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'KPIs 1'!$B$16:$B$28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'KPIs 1'!$D$16:$D$28</c:f>
              <c:numCache>
                <c:formatCode>[$$-45C]#,##0.0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ACC-4628-95B7-480C5B1A5B8E}"/>
            </c:ext>
          </c:extLst>
        </c:ser>
        <c:dLbls>
          <c:showLegendKey val="0"/>
          <c:showVal val="0"/>
          <c:showCatName val="0"/>
          <c:showSerName val="0"/>
          <c:showPercent val="0"/>
          <c:showBubbleSize val="0"/>
        </c:dLbls>
        <c:marker val="1"/>
        <c:smooth val="0"/>
        <c:axId val="1799291744"/>
        <c:axId val="1399720304"/>
      </c:lineChart>
      <c:catAx>
        <c:axId val="16921729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9745744"/>
        <c:crosses val="autoZero"/>
        <c:auto val="1"/>
        <c:lblAlgn val="ctr"/>
        <c:lblOffset val="100"/>
        <c:noMultiLvlLbl val="0"/>
      </c:catAx>
      <c:valAx>
        <c:axId val="13997457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2172944"/>
        <c:crosses val="autoZero"/>
        <c:crossBetween val="between"/>
      </c:valAx>
      <c:valAx>
        <c:axId val="1399720304"/>
        <c:scaling>
          <c:orientation val="minMax"/>
        </c:scaling>
        <c:delete val="0"/>
        <c:axPos val="r"/>
        <c:numFmt formatCode="[$$-45C]#,###.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9291744"/>
        <c:crosses val="max"/>
        <c:crossBetween val="between"/>
      </c:valAx>
      <c:catAx>
        <c:axId val="1799291744"/>
        <c:scaling>
          <c:orientation val="minMax"/>
        </c:scaling>
        <c:delete val="1"/>
        <c:axPos val="b"/>
        <c:numFmt formatCode="General" sourceLinked="1"/>
        <c:majorTickMark val="none"/>
        <c:minorTickMark val="none"/>
        <c:tickLblPos val="nextTo"/>
        <c:crossAx val="13997203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Sales Data Analysis.xlsx]KPIs 2!PivotTable8</c:name>
    <c:fmtId val="3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How many they buy</a:t>
            </a:r>
            <a:r>
              <a:rPr lang="en-IN" sz="1600" b="1" baseline="0"/>
              <a:t> ?</a:t>
            </a:r>
            <a:endParaRPr lang="en-IN" sz="1600" b="1"/>
          </a:p>
        </c:rich>
      </c:tx>
      <c:layout>
        <c:manualLayout>
          <c:xMode val="edge"/>
          <c:yMode val="edge"/>
          <c:x val="0.34940099185527546"/>
          <c:y val="8.924849400182761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3.6954915003695491E-3"/>
              <c:y val="-0.361881932097197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7.021433850702144E-2"/>
              <c:y val="-0.323840064346795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6.2823355506282333E-2"/>
              <c:y val="-0.238495540879970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1.1086474501108648E-2"/>
              <c:y val="-0.18969251827392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7.3909830007390306E-3"/>
              <c:y val="-0.257399528687946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0"/>
              <c:y val="-0.34827350210255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3.6954915003695491E-3"/>
              <c:y val="-0.29700914401828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'KPIs 2'!$B$14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5051-449A-81EE-C99D817ED0F4}"/>
              </c:ext>
            </c:extLst>
          </c:dPt>
          <c:dPt>
            <c:idx val="1"/>
            <c:invertIfNegative val="0"/>
            <c:bubble3D val="0"/>
            <c:extLst>
              <c:ext xmlns:c16="http://schemas.microsoft.com/office/drawing/2014/chart" uri="{C3380CC4-5D6E-409C-BE32-E72D297353CC}">
                <c16:uniqueId val="{00000002-5051-449A-81EE-C99D817ED0F4}"/>
              </c:ext>
            </c:extLst>
          </c:dPt>
          <c:dPt>
            <c:idx val="2"/>
            <c:invertIfNegative val="0"/>
            <c:bubble3D val="0"/>
            <c:extLst>
              <c:ext xmlns:c16="http://schemas.microsoft.com/office/drawing/2014/chart" uri="{C3380CC4-5D6E-409C-BE32-E72D297353CC}">
                <c16:uniqueId val="{00000003-5051-449A-81EE-C99D817ED0F4}"/>
              </c:ext>
            </c:extLst>
          </c:dPt>
          <c:dPt>
            <c:idx val="3"/>
            <c:invertIfNegative val="0"/>
            <c:bubble3D val="0"/>
            <c:extLst>
              <c:ext xmlns:c16="http://schemas.microsoft.com/office/drawing/2014/chart" uri="{C3380CC4-5D6E-409C-BE32-E72D297353CC}">
                <c16:uniqueId val="{00000004-5051-449A-81EE-C99D817ED0F4}"/>
              </c:ext>
            </c:extLst>
          </c:dPt>
          <c:dPt>
            <c:idx val="4"/>
            <c:invertIfNegative val="0"/>
            <c:bubble3D val="0"/>
            <c:extLst>
              <c:ext xmlns:c16="http://schemas.microsoft.com/office/drawing/2014/chart" uri="{C3380CC4-5D6E-409C-BE32-E72D297353CC}">
                <c16:uniqueId val="{00000005-5051-449A-81EE-C99D817ED0F4}"/>
              </c:ext>
            </c:extLst>
          </c:dPt>
          <c:dPt>
            <c:idx val="5"/>
            <c:invertIfNegative val="0"/>
            <c:bubble3D val="0"/>
            <c:extLst>
              <c:ext xmlns:c16="http://schemas.microsoft.com/office/drawing/2014/chart" uri="{C3380CC4-5D6E-409C-BE32-E72D297353CC}">
                <c16:uniqueId val="{00000006-5051-449A-81EE-C99D817ED0F4}"/>
              </c:ext>
            </c:extLst>
          </c:dPt>
          <c:dPt>
            <c:idx val="6"/>
            <c:invertIfNegative val="0"/>
            <c:bubble3D val="0"/>
            <c:extLst>
              <c:ext xmlns:c16="http://schemas.microsoft.com/office/drawing/2014/chart" uri="{C3380CC4-5D6E-409C-BE32-E72D297353CC}">
                <c16:uniqueId val="{00000007-5051-449A-81EE-C99D817ED0F4}"/>
              </c:ext>
            </c:extLst>
          </c:dPt>
          <c:dLbls>
            <c:dLbl>
              <c:idx val="0"/>
              <c:layout>
                <c:manualLayout>
                  <c:x val="3.6954915003695491E-3"/>
                  <c:y val="-0.36188193209719755"/>
                </c:manualLayout>
              </c:layout>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51-449A-81EE-C99D817ED0F4}"/>
                </c:ext>
              </c:extLst>
            </c:dLbl>
            <c:dLbl>
              <c:idx val="1"/>
              <c:layout>
                <c:manualLayout>
                  <c:x val="7.021433850702144E-2"/>
                  <c:y val="-0.32384006434679535"/>
                </c:manualLayout>
              </c:layout>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51-449A-81EE-C99D817ED0F4}"/>
                </c:ext>
              </c:extLst>
            </c:dLbl>
            <c:dLbl>
              <c:idx val="2"/>
              <c:layout>
                <c:manualLayout>
                  <c:x val="6.2823355506282333E-2"/>
                  <c:y val="-0.23849554087997066"/>
                </c:manualLayout>
              </c:layout>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51-449A-81EE-C99D817ED0F4}"/>
                </c:ext>
              </c:extLst>
            </c:dLbl>
            <c:dLbl>
              <c:idx val="3"/>
              <c:layout>
                <c:manualLayout>
                  <c:x val="1.1086474501108648E-2"/>
                  <c:y val="-0.18969251827392544"/>
                </c:manualLayout>
              </c:layout>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051-449A-81EE-C99D817ED0F4}"/>
                </c:ext>
              </c:extLst>
            </c:dLbl>
            <c:dLbl>
              <c:idx val="4"/>
              <c:layout>
                <c:manualLayout>
                  <c:x val="7.3909830007390306E-3"/>
                  <c:y val="-0.25739952868794624"/>
                </c:manualLayout>
              </c:layout>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51-449A-81EE-C99D817ED0F4}"/>
                </c:ext>
              </c:extLst>
            </c:dLbl>
            <c:dLbl>
              <c:idx val="5"/>
              <c:layout>
                <c:manualLayout>
                  <c:x val="0"/>
                  <c:y val="-0.34827350210255975"/>
                </c:manualLayout>
              </c:layout>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051-449A-81EE-C99D817ED0F4}"/>
                </c:ext>
              </c:extLst>
            </c:dLbl>
            <c:dLbl>
              <c:idx val="6"/>
              <c:layout>
                <c:manualLayout>
                  <c:x val="3.6954915003695491E-3"/>
                  <c:y val="-0.2970091440182881"/>
                </c:manualLayout>
              </c:layout>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51-449A-81EE-C99D817ED0F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'KPIs 2'!$A$15:$A$21</c:f>
              <c:strCache>
                <c:ptCount val="7"/>
                <c:pt idx="0">
                  <c:v>1</c:v>
                </c:pt>
                <c:pt idx="1">
                  <c:v>2</c:v>
                </c:pt>
                <c:pt idx="2">
                  <c:v>3</c:v>
                </c:pt>
                <c:pt idx="3">
                  <c:v>4</c:v>
                </c:pt>
                <c:pt idx="4">
                  <c:v>5</c:v>
                </c:pt>
                <c:pt idx="5">
                  <c:v>6-10</c:v>
                </c:pt>
                <c:pt idx="6">
                  <c:v>More than 10</c:v>
                </c:pt>
              </c:strCache>
            </c:strRef>
          </c:cat>
          <c:val>
            <c:numRef>
              <c:f>'KPIs 2'!$B$15:$B$21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5051-449A-81EE-C99D817ED0F4}"/>
            </c:ext>
          </c:extLst>
        </c:ser>
        <c:dLbls>
          <c:dLblPos val="inEnd"/>
          <c:showLegendKey val="0"/>
          <c:showVal val="1"/>
          <c:showCatName val="0"/>
          <c:showSerName val="0"/>
          <c:showPercent val="0"/>
          <c:showBubbleSize val="0"/>
        </c:dLbls>
        <c:gapWidth val="30"/>
        <c:overlap val="100"/>
        <c:axId val="1692188256"/>
        <c:axId val="1802157648"/>
      </c:barChart>
      <c:catAx>
        <c:axId val="16921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57648"/>
        <c:crosses val="autoZero"/>
        <c:auto val="1"/>
        <c:lblAlgn val="ctr"/>
        <c:lblOffset val="100"/>
        <c:noMultiLvlLbl val="0"/>
      </c:catAx>
      <c:valAx>
        <c:axId val="180215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18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Sales Data Analysis.xlsx]KPIs 2!PivotTable9</c:name>
    <c:fmtId val="4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Which</a:t>
            </a:r>
            <a:r>
              <a:rPr lang="en-IN" sz="1600" b="1" baseline="0"/>
              <a:t> Products are Popular ?</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'KPIs 2'!$D$14:$D$15</c:f>
              <c:strCache>
                <c:ptCount val="1"/>
                <c:pt idx="0">
                  <c:v>Female</c:v>
                </c:pt>
              </c:strCache>
            </c:strRef>
          </c:tx>
          <c:spPr>
            <a:solidFill>
              <a:schemeClr val="accent1"/>
            </a:solidFill>
            <a:ln>
              <a:noFill/>
            </a:ln>
            <a:effectLst/>
          </c:spPr>
          <c:invertIfNegative val="0"/>
          <c:cat>
            <c:strRef>
              <c:f>'KPIs 2'!$C$16:$C$35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'KPIs 2'!$D$16:$D$35</c:f>
              <c:numCache>
                <c:formatCode>General</c:formatCode>
                <c:ptCount val="20"/>
                <c:pt idx="0">
                  <c:v>43</c:v>
                </c:pt>
                <c:pt idx="1">
                  <c:v>482</c:v>
                </c:pt>
                <c:pt idx="2">
                  <c:v>234</c:v>
                </c:pt>
                <c:pt idx="3">
                  <c:v>153</c:v>
                </c:pt>
                <c:pt idx="4">
                  <c:v>431</c:v>
                </c:pt>
                <c:pt idx="5">
                  <c:v>264</c:v>
                </c:pt>
                <c:pt idx="6">
                  <c:v>716</c:v>
                </c:pt>
                <c:pt idx="7">
                  <c:v>26</c:v>
                </c:pt>
                <c:pt idx="8">
                  <c:v>189</c:v>
                </c:pt>
                <c:pt idx="9">
                  <c:v>179</c:v>
                </c:pt>
                <c:pt idx="10">
                  <c:v>127</c:v>
                </c:pt>
                <c:pt idx="11">
                  <c:v>296</c:v>
                </c:pt>
                <c:pt idx="12">
                  <c:v>428</c:v>
                </c:pt>
                <c:pt idx="13">
                  <c:v>627</c:v>
                </c:pt>
                <c:pt idx="14">
                  <c:v>445</c:v>
                </c:pt>
                <c:pt idx="15">
                  <c:v>99</c:v>
                </c:pt>
                <c:pt idx="16">
                  <c:v>568</c:v>
                </c:pt>
                <c:pt idx="17">
                  <c:v>75</c:v>
                </c:pt>
                <c:pt idx="18">
                  <c:v>744</c:v>
                </c:pt>
                <c:pt idx="19">
                  <c:v>146</c:v>
                </c:pt>
              </c:numCache>
            </c:numRef>
          </c:val>
          <c:extLst>
            <c:ext xmlns:c16="http://schemas.microsoft.com/office/drawing/2014/chart" uri="{C3380CC4-5D6E-409C-BE32-E72D297353CC}">
              <c16:uniqueId val="{00000000-3ABE-4F0C-8B5E-FE4636DD7297}"/>
            </c:ext>
          </c:extLst>
        </c:ser>
        <c:ser>
          <c:idx val="2"/>
          <c:order val="2"/>
          <c:tx>
            <c:strRef>
              <c:f>'KPIs 2'!$F$14:$F$15</c:f>
              <c:strCache>
                <c:ptCount val="1"/>
                <c:pt idx="0">
                  <c:v>Other</c:v>
                </c:pt>
              </c:strCache>
            </c:strRef>
          </c:tx>
          <c:spPr>
            <a:solidFill>
              <a:schemeClr val="accent3"/>
            </a:solidFill>
            <a:ln>
              <a:noFill/>
            </a:ln>
            <a:effectLst/>
          </c:spPr>
          <c:invertIfNegative val="0"/>
          <c:cat>
            <c:strRef>
              <c:f>'KPIs 2'!$C$16:$C$35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'KPIs 2'!$F$16:$F$35</c:f>
              <c:numCache>
                <c:formatCode>General</c:formatCode>
                <c:ptCount val="20"/>
                <c:pt idx="0">
                  <c:v>8</c:v>
                </c:pt>
                <c:pt idx="1">
                  <c:v>8</c:v>
                </c:pt>
                <c:pt idx="2">
                  <c:v>19</c:v>
                </c:pt>
                <c:pt idx="3">
                  <c:v>30</c:v>
                </c:pt>
                <c:pt idx="4">
                  <c:v>14</c:v>
                </c:pt>
                <c:pt idx="5">
                  <c:v>15</c:v>
                </c:pt>
                <c:pt idx="6">
                  <c:v>18</c:v>
                </c:pt>
                <c:pt idx="7">
                  <c:v>4</c:v>
                </c:pt>
                <c:pt idx="8">
                  <c:v>10</c:v>
                </c:pt>
                <c:pt idx="9">
                  <c:v>3</c:v>
                </c:pt>
                <c:pt idx="10">
                  <c:v>13</c:v>
                </c:pt>
                <c:pt idx="11">
                  <c:v>9</c:v>
                </c:pt>
                <c:pt idx="13">
                  <c:v>29</c:v>
                </c:pt>
                <c:pt idx="14">
                  <c:v>14</c:v>
                </c:pt>
                <c:pt idx="15">
                  <c:v>3</c:v>
                </c:pt>
                <c:pt idx="16">
                  <c:v>22</c:v>
                </c:pt>
                <c:pt idx="17">
                  <c:v>4</c:v>
                </c:pt>
                <c:pt idx="18">
                  <c:v>90</c:v>
                </c:pt>
                <c:pt idx="19">
                  <c:v>4</c:v>
                </c:pt>
              </c:numCache>
            </c:numRef>
          </c:val>
          <c:extLst>
            <c:ext xmlns:c16="http://schemas.microsoft.com/office/drawing/2014/chart" uri="{C3380CC4-5D6E-409C-BE32-E72D297353CC}">
              <c16:uniqueId val="{00000006-3ABE-4F0C-8B5E-FE4636DD7297}"/>
            </c:ext>
          </c:extLst>
        </c:ser>
        <c:ser>
          <c:idx val="3"/>
          <c:order val="3"/>
          <c:tx>
            <c:strRef>
              <c:f>'KPIs 2'!$G$14:$G$15</c:f>
              <c:strCache>
                <c:ptCount val="1"/>
                <c:pt idx="0">
                  <c:v>Unknown</c:v>
                </c:pt>
              </c:strCache>
            </c:strRef>
          </c:tx>
          <c:spPr>
            <a:solidFill>
              <a:schemeClr val="accent4"/>
            </a:solidFill>
            <a:ln>
              <a:noFill/>
            </a:ln>
            <a:effectLst/>
          </c:spPr>
          <c:invertIfNegative val="0"/>
          <c:cat>
            <c:strRef>
              <c:f>'KPIs 2'!$C$16:$C$35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'KPIs 2'!$G$16:$G$35</c:f>
              <c:numCache>
                <c:formatCode>General</c:formatCode>
                <c:ptCount val="20"/>
                <c:pt idx="0">
                  <c:v>6</c:v>
                </c:pt>
                <c:pt idx="1">
                  <c:v>22</c:v>
                </c:pt>
                <c:pt idx="2">
                  <c:v>24</c:v>
                </c:pt>
                <c:pt idx="3">
                  <c:v>8</c:v>
                </c:pt>
                <c:pt idx="4">
                  <c:v>15</c:v>
                </c:pt>
                <c:pt idx="5">
                  <c:v>9</c:v>
                </c:pt>
                <c:pt idx="6">
                  <c:v>214</c:v>
                </c:pt>
                <c:pt idx="8">
                  <c:v>31</c:v>
                </c:pt>
                <c:pt idx="10">
                  <c:v>12</c:v>
                </c:pt>
                <c:pt idx="11">
                  <c:v>23</c:v>
                </c:pt>
                <c:pt idx="12">
                  <c:v>24</c:v>
                </c:pt>
                <c:pt idx="13">
                  <c:v>137</c:v>
                </c:pt>
                <c:pt idx="14">
                  <c:v>39</c:v>
                </c:pt>
                <c:pt idx="15">
                  <c:v>24</c:v>
                </c:pt>
                <c:pt idx="16">
                  <c:v>16</c:v>
                </c:pt>
                <c:pt idx="17">
                  <c:v>6</c:v>
                </c:pt>
                <c:pt idx="18">
                  <c:v>98</c:v>
                </c:pt>
                <c:pt idx="19">
                  <c:v>28</c:v>
                </c:pt>
              </c:numCache>
            </c:numRef>
          </c:val>
          <c:extLst>
            <c:ext xmlns:c16="http://schemas.microsoft.com/office/drawing/2014/chart" uri="{C3380CC4-5D6E-409C-BE32-E72D297353CC}">
              <c16:uniqueId val="{00000007-3ABE-4F0C-8B5E-FE4636DD7297}"/>
            </c:ext>
          </c:extLst>
        </c:ser>
        <c:dLbls>
          <c:showLegendKey val="0"/>
          <c:showVal val="0"/>
          <c:showCatName val="0"/>
          <c:showSerName val="0"/>
          <c:showPercent val="0"/>
          <c:showBubbleSize val="0"/>
        </c:dLbls>
        <c:gapWidth val="80"/>
        <c:overlap val="100"/>
        <c:axId val="1811885952"/>
        <c:axId val="1802157168"/>
      </c:barChart>
      <c:barChart>
        <c:barDir val="bar"/>
        <c:grouping val="stacked"/>
        <c:varyColors val="0"/>
        <c:ser>
          <c:idx val="1"/>
          <c:order val="1"/>
          <c:tx>
            <c:strRef>
              <c:f>'KPIs 2'!$E$14:$E$15</c:f>
              <c:strCache>
                <c:ptCount val="1"/>
                <c:pt idx="0">
                  <c:v>Male</c:v>
                </c:pt>
              </c:strCache>
            </c:strRef>
          </c:tx>
          <c:spPr>
            <a:solidFill>
              <a:schemeClr val="accent2"/>
            </a:solidFill>
            <a:ln>
              <a:noFill/>
            </a:ln>
            <a:effectLst/>
          </c:spPr>
          <c:invertIfNegative val="0"/>
          <c:cat>
            <c:strRef>
              <c:f>'KPIs 2'!$C$16:$C$35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'KPIs 2'!$E$16:$E$35</c:f>
              <c:numCache>
                <c:formatCode>General</c:formatCode>
                <c:ptCount val="20"/>
                <c:pt idx="0">
                  <c:v>90</c:v>
                </c:pt>
                <c:pt idx="1">
                  <c:v>295</c:v>
                </c:pt>
                <c:pt idx="2">
                  <c:v>93</c:v>
                </c:pt>
                <c:pt idx="3">
                  <c:v>246</c:v>
                </c:pt>
                <c:pt idx="4">
                  <c:v>187</c:v>
                </c:pt>
                <c:pt idx="5">
                  <c:v>318</c:v>
                </c:pt>
                <c:pt idx="6">
                  <c:v>598</c:v>
                </c:pt>
                <c:pt idx="7">
                  <c:v>35</c:v>
                </c:pt>
                <c:pt idx="8">
                  <c:v>168</c:v>
                </c:pt>
                <c:pt idx="9">
                  <c:v>76</c:v>
                </c:pt>
                <c:pt idx="10">
                  <c:v>118</c:v>
                </c:pt>
                <c:pt idx="11">
                  <c:v>275</c:v>
                </c:pt>
                <c:pt idx="12">
                  <c:v>293</c:v>
                </c:pt>
                <c:pt idx="13">
                  <c:v>393</c:v>
                </c:pt>
                <c:pt idx="14">
                  <c:v>202</c:v>
                </c:pt>
                <c:pt idx="15">
                  <c:v>69</c:v>
                </c:pt>
                <c:pt idx="16">
                  <c:v>306</c:v>
                </c:pt>
                <c:pt idx="17">
                  <c:v>103</c:v>
                </c:pt>
                <c:pt idx="18">
                  <c:v>713</c:v>
                </c:pt>
                <c:pt idx="19">
                  <c:v>94</c:v>
                </c:pt>
              </c:numCache>
            </c:numRef>
          </c:val>
          <c:extLst>
            <c:ext xmlns:c16="http://schemas.microsoft.com/office/drawing/2014/chart" uri="{C3380CC4-5D6E-409C-BE32-E72D297353CC}">
              <c16:uniqueId val="{00000005-3ABE-4F0C-8B5E-FE4636DD7297}"/>
            </c:ext>
          </c:extLst>
        </c:ser>
        <c:dLbls>
          <c:showLegendKey val="0"/>
          <c:showVal val="0"/>
          <c:showCatName val="0"/>
          <c:showSerName val="0"/>
          <c:showPercent val="0"/>
          <c:showBubbleSize val="0"/>
        </c:dLbls>
        <c:gapWidth val="80"/>
        <c:overlap val="100"/>
        <c:axId val="1971141424"/>
        <c:axId val="1802168688"/>
      </c:barChart>
      <c:catAx>
        <c:axId val="181188595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57168"/>
        <c:crosses val="autoZero"/>
        <c:auto val="1"/>
        <c:lblAlgn val="ctr"/>
        <c:lblOffset val="100"/>
        <c:noMultiLvlLbl val="0"/>
      </c:catAx>
      <c:valAx>
        <c:axId val="180215716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885952"/>
        <c:crosses val="autoZero"/>
        <c:crossBetween val="between"/>
      </c:valAx>
      <c:valAx>
        <c:axId val="18021686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41424"/>
        <c:crosses val="autoZero"/>
        <c:crossBetween val="between"/>
      </c:valAx>
      <c:catAx>
        <c:axId val="1971141424"/>
        <c:scaling>
          <c:orientation val="minMax"/>
        </c:scaling>
        <c:delete val="1"/>
        <c:axPos val="l"/>
        <c:numFmt formatCode="General" sourceLinked="1"/>
        <c:majorTickMark val="out"/>
        <c:minorTickMark val="none"/>
        <c:tickLblPos val="nextTo"/>
        <c:crossAx val="18021686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Sales Data Analysis.xlsx]KPIs 2!PivotTable10</c:name>
    <c:fmtId val="46"/>
  </c:pivotSource>
  <c:chart>
    <c:autoTitleDeleted val="1"/>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118664281454978"/>
              <c:y val="0.109546165884194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9081693500298152"/>
              <c:y val="3.65153886280646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4311270125223613"/>
              <c:y val="-0.146061554512258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2820512820512825"/>
              <c:y val="-6.25978090766823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118664281454978"/>
              <c:y val="0.109546165884194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9081693500298152"/>
              <c:y val="3.65153886280646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820512820512825"/>
              <c:y val="-6.25978090766823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4311270125223613"/>
              <c:y val="-0.146061554512258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7397488216202256"/>
          <c:y val="0.30542247152100749"/>
          <c:w val="0.49075967318601305"/>
          <c:h val="0.6724220936471339"/>
        </c:manualLayout>
      </c:layout>
      <c:doughnutChart>
        <c:varyColors val="1"/>
        <c:ser>
          <c:idx val="0"/>
          <c:order val="0"/>
          <c:tx>
            <c:strRef>
              <c:f>'KPIs 2'!$J$15</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B5-47A8-882F-15A6EDCD47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B5-47A8-882F-15A6EDCD47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B5-47A8-882F-15A6EDCD47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B5-47A8-882F-15A6EDCD4707}"/>
              </c:ext>
            </c:extLst>
          </c:dPt>
          <c:cat>
            <c:strRef>
              <c:f>'KPIs 2'!$I$16:$I$19</c:f>
              <c:strCache>
                <c:ptCount val="4"/>
                <c:pt idx="0">
                  <c:v>Female</c:v>
                </c:pt>
                <c:pt idx="1">
                  <c:v>Male</c:v>
                </c:pt>
                <c:pt idx="2">
                  <c:v>Other</c:v>
                </c:pt>
                <c:pt idx="3">
                  <c:v>Unknown</c:v>
                </c:pt>
              </c:strCache>
            </c:strRef>
          </c:cat>
          <c:val>
            <c:numRef>
              <c:f>'KPIs 2'!$J$16:$J$19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B1B5-47A8-882F-15A6EDCD4707}"/>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Sales Data Analysis.xlsx]KPIs 1!PivotTable12</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How long we take to ship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7996500437445"/>
          <c:y val="5.0925925925925923E-2"/>
          <c:w val="0.87764129483814524"/>
          <c:h val="0.75047317002041414"/>
        </c:manualLayout>
      </c:layout>
      <c:barChart>
        <c:barDir val="col"/>
        <c:grouping val="clustered"/>
        <c:varyColors val="0"/>
        <c:ser>
          <c:idx val="0"/>
          <c:order val="0"/>
          <c:tx>
            <c:strRef>
              <c:f>'KPIs 1'!$G$15</c:f>
              <c:strCache>
                <c:ptCount val="1"/>
                <c:pt idx="0">
                  <c:v>Total</c:v>
                </c:pt>
              </c:strCache>
            </c:strRef>
          </c:tx>
          <c:spPr>
            <a:solidFill>
              <a:schemeClr val="accent1"/>
            </a:solidFill>
            <a:ln>
              <a:noFill/>
            </a:ln>
            <a:effectLst/>
          </c:spPr>
          <c:invertIfNegative val="0"/>
          <c:cat>
            <c:strRef>
              <c:f>'KPIs 1'!$F$16:$F$30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'KPIs 1'!$G$16:$G$30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9224-40C6-8C31-6A8529D3F7C3}"/>
            </c:ext>
          </c:extLst>
        </c:ser>
        <c:dLbls>
          <c:showLegendKey val="0"/>
          <c:showVal val="0"/>
          <c:showCatName val="0"/>
          <c:showSerName val="0"/>
          <c:showPercent val="0"/>
          <c:showBubbleSize val="0"/>
        </c:dLbls>
        <c:gapWidth val="219"/>
        <c:overlap val="-27"/>
        <c:axId val="1809792144"/>
        <c:axId val="1802149008"/>
      </c:barChart>
      <c:catAx>
        <c:axId val="18097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49008"/>
        <c:crosses val="autoZero"/>
        <c:auto val="1"/>
        <c:lblAlgn val="ctr"/>
        <c:lblOffset val="100"/>
        <c:noMultiLvlLbl val="0"/>
      </c:catAx>
      <c:valAx>
        <c:axId val="1802149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79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Sales Data Analysis.xlsx]KPIs 1!PivotTable13</c:name>
    <c:fmtId val="4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How satisfied are customers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1'!$J$15:$J$16</c:f>
              <c:strCache>
                <c:ptCount val="1"/>
                <c:pt idx="0">
                  <c:v>1</c:v>
                </c:pt>
              </c:strCache>
            </c:strRef>
          </c:tx>
          <c:spPr>
            <a:solidFill>
              <a:schemeClr val="accent1"/>
            </a:solidFill>
            <a:ln>
              <a:noFill/>
            </a:ln>
            <a:effectLst/>
          </c:spPr>
          <c:invertIfNegative val="0"/>
          <c:cat>
            <c:strRef>
              <c:f>'KPIs 1'!$I$17:$I$19</c:f>
              <c:strCache>
                <c:ptCount val="3"/>
                <c:pt idx="0">
                  <c:v>Jan</c:v>
                </c:pt>
                <c:pt idx="1">
                  <c:v>Feb</c:v>
                </c:pt>
                <c:pt idx="2">
                  <c:v>Mar</c:v>
                </c:pt>
              </c:strCache>
            </c:strRef>
          </c:cat>
          <c:val>
            <c:numRef>
              <c:f>'KPIs 1'!$J$17:$J$19</c:f>
              <c:numCache>
                <c:formatCode>General</c:formatCode>
                <c:ptCount val="3"/>
                <c:pt idx="0">
                  <c:v>7</c:v>
                </c:pt>
                <c:pt idx="1">
                  <c:v>8</c:v>
                </c:pt>
                <c:pt idx="2">
                  <c:v>6</c:v>
                </c:pt>
              </c:numCache>
            </c:numRef>
          </c:val>
          <c:extLst>
            <c:ext xmlns:c16="http://schemas.microsoft.com/office/drawing/2014/chart" uri="{C3380CC4-5D6E-409C-BE32-E72D297353CC}">
              <c16:uniqueId val="{00000000-E1B0-4CDC-A811-FA80A23EB82B}"/>
            </c:ext>
          </c:extLst>
        </c:ser>
        <c:ser>
          <c:idx val="1"/>
          <c:order val="1"/>
          <c:tx>
            <c:strRef>
              <c:f>'KPIs 1'!$K$15:$K$16</c:f>
              <c:strCache>
                <c:ptCount val="1"/>
                <c:pt idx="0">
                  <c:v>2</c:v>
                </c:pt>
              </c:strCache>
            </c:strRef>
          </c:tx>
          <c:spPr>
            <a:solidFill>
              <a:schemeClr val="accent2"/>
            </a:solidFill>
            <a:ln>
              <a:noFill/>
            </a:ln>
            <a:effectLst/>
          </c:spPr>
          <c:invertIfNegative val="0"/>
          <c:cat>
            <c:strRef>
              <c:f>'KPIs 1'!$I$17:$I$19</c:f>
              <c:strCache>
                <c:ptCount val="3"/>
                <c:pt idx="0">
                  <c:v>Jan</c:v>
                </c:pt>
                <c:pt idx="1">
                  <c:v>Feb</c:v>
                </c:pt>
                <c:pt idx="2">
                  <c:v>Mar</c:v>
                </c:pt>
              </c:strCache>
            </c:strRef>
          </c:cat>
          <c:val>
            <c:numRef>
              <c:f>'KPIs 1'!$K$17:$K$19</c:f>
              <c:numCache>
                <c:formatCode>General</c:formatCode>
                <c:ptCount val="3"/>
                <c:pt idx="0">
                  <c:v>37</c:v>
                </c:pt>
                <c:pt idx="1">
                  <c:v>51</c:v>
                </c:pt>
                <c:pt idx="2">
                  <c:v>39</c:v>
                </c:pt>
              </c:numCache>
            </c:numRef>
          </c:val>
          <c:extLst>
            <c:ext xmlns:c16="http://schemas.microsoft.com/office/drawing/2014/chart" uri="{C3380CC4-5D6E-409C-BE32-E72D297353CC}">
              <c16:uniqueId val="{00000001-E1B0-4CDC-A811-FA80A23EB82B}"/>
            </c:ext>
          </c:extLst>
        </c:ser>
        <c:ser>
          <c:idx val="2"/>
          <c:order val="2"/>
          <c:tx>
            <c:strRef>
              <c:f>'KPIs 1'!$L$15:$L$16</c:f>
              <c:strCache>
                <c:ptCount val="1"/>
                <c:pt idx="0">
                  <c:v>3</c:v>
                </c:pt>
              </c:strCache>
            </c:strRef>
          </c:tx>
          <c:spPr>
            <a:solidFill>
              <a:schemeClr val="accent3"/>
            </a:solidFill>
            <a:ln>
              <a:noFill/>
            </a:ln>
            <a:effectLst/>
          </c:spPr>
          <c:invertIfNegative val="0"/>
          <c:cat>
            <c:strRef>
              <c:f>'KPIs 1'!$I$17:$I$19</c:f>
              <c:strCache>
                <c:ptCount val="3"/>
                <c:pt idx="0">
                  <c:v>Jan</c:v>
                </c:pt>
                <c:pt idx="1">
                  <c:v>Feb</c:v>
                </c:pt>
                <c:pt idx="2">
                  <c:v>Mar</c:v>
                </c:pt>
              </c:strCache>
            </c:strRef>
          </c:cat>
          <c:val>
            <c:numRef>
              <c:f>'KPIs 1'!$L$17:$L$19</c:f>
              <c:numCache>
                <c:formatCode>General</c:formatCode>
                <c:ptCount val="3"/>
                <c:pt idx="0">
                  <c:v>150</c:v>
                </c:pt>
                <c:pt idx="1">
                  <c:v>182</c:v>
                </c:pt>
                <c:pt idx="2">
                  <c:v>163</c:v>
                </c:pt>
              </c:numCache>
            </c:numRef>
          </c:val>
          <c:extLst>
            <c:ext xmlns:c16="http://schemas.microsoft.com/office/drawing/2014/chart" uri="{C3380CC4-5D6E-409C-BE32-E72D297353CC}">
              <c16:uniqueId val="{00000002-E1B0-4CDC-A811-FA80A23EB82B}"/>
            </c:ext>
          </c:extLst>
        </c:ser>
        <c:ser>
          <c:idx val="3"/>
          <c:order val="3"/>
          <c:tx>
            <c:strRef>
              <c:f>'KPIs 1'!$M$15:$M$16</c:f>
              <c:strCache>
                <c:ptCount val="1"/>
                <c:pt idx="0">
                  <c:v>4</c:v>
                </c:pt>
              </c:strCache>
            </c:strRef>
          </c:tx>
          <c:spPr>
            <a:solidFill>
              <a:schemeClr val="accent4"/>
            </a:solidFill>
            <a:ln>
              <a:noFill/>
            </a:ln>
            <a:effectLst/>
          </c:spPr>
          <c:invertIfNegative val="0"/>
          <c:cat>
            <c:strRef>
              <c:f>'KPIs 1'!$I$17:$I$19</c:f>
              <c:strCache>
                <c:ptCount val="3"/>
                <c:pt idx="0">
                  <c:v>Jan</c:v>
                </c:pt>
                <c:pt idx="1">
                  <c:v>Feb</c:v>
                </c:pt>
                <c:pt idx="2">
                  <c:v>Mar</c:v>
                </c:pt>
              </c:strCache>
            </c:strRef>
          </c:cat>
          <c:val>
            <c:numRef>
              <c:f>'KPIs 1'!$M$17:$M$19</c:f>
              <c:numCache>
                <c:formatCode>General</c:formatCode>
                <c:ptCount val="3"/>
                <c:pt idx="0">
                  <c:v>312</c:v>
                </c:pt>
                <c:pt idx="1">
                  <c:v>373</c:v>
                </c:pt>
                <c:pt idx="2">
                  <c:v>351</c:v>
                </c:pt>
              </c:numCache>
            </c:numRef>
          </c:val>
          <c:extLst>
            <c:ext xmlns:c16="http://schemas.microsoft.com/office/drawing/2014/chart" uri="{C3380CC4-5D6E-409C-BE32-E72D297353CC}">
              <c16:uniqueId val="{00000003-E1B0-4CDC-A811-FA80A23EB82B}"/>
            </c:ext>
          </c:extLst>
        </c:ser>
        <c:ser>
          <c:idx val="4"/>
          <c:order val="4"/>
          <c:tx>
            <c:strRef>
              <c:f>'KPIs 1'!$N$15:$N$16</c:f>
              <c:strCache>
                <c:ptCount val="1"/>
                <c:pt idx="0">
                  <c:v>5</c:v>
                </c:pt>
              </c:strCache>
            </c:strRef>
          </c:tx>
          <c:spPr>
            <a:solidFill>
              <a:schemeClr val="accent5"/>
            </a:solidFill>
            <a:ln>
              <a:noFill/>
            </a:ln>
            <a:effectLst/>
          </c:spPr>
          <c:invertIfNegative val="0"/>
          <c:cat>
            <c:strRef>
              <c:f>'KPIs 1'!$I$17:$I$19</c:f>
              <c:strCache>
                <c:ptCount val="3"/>
                <c:pt idx="0">
                  <c:v>Jan</c:v>
                </c:pt>
                <c:pt idx="1">
                  <c:v>Feb</c:v>
                </c:pt>
                <c:pt idx="2">
                  <c:v>Mar</c:v>
                </c:pt>
              </c:strCache>
            </c:strRef>
          </c:cat>
          <c:val>
            <c:numRef>
              <c:f>'KPIs 1'!$N$17:$N$19</c:f>
              <c:numCache>
                <c:formatCode>General</c:formatCode>
                <c:ptCount val="3"/>
                <c:pt idx="0">
                  <c:v>224</c:v>
                </c:pt>
                <c:pt idx="1">
                  <c:v>247</c:v>
                </c:pt>
                <c:pt idx="2">
                  <c:v>250</c:v>
                </c:pt>
              </c:numCache>
            </c:numRef>
          </c:val>
          <c:extLst>
            <c:ext xmlns:c16="http://schemas.microsoft.com/office/drawing/2014/chart" uri="{C3380CC4-5D6E-409C-BE32-E72D297353CC}">
              <c16:uniqueId val="{00000004-E1B0-4CDC-A811-FA80A23EB82B}"/>
            </c:ext>
          </c:extLst>
        </c:ser>
        <c:dLbls>
          <c:showLegendKey val="0"/>
          <c:showVal val="0"/>
          <c:showCatName val="0"/>
          <c:showSerName val="0"/>
          <c:showPercent val="0"/>
          <c:showBubbleSize val="0"/>
        </c:dLbls>
        <c:gapWidth val="219"/>
        <c:overlap val="-27"/>
        <c:axId val="1894707344"/>
        <c:axId val="1802180208"/>
      </c:barChart>
      <c:catAx>
        <c:axId val="189470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80208"/>
        <c:crosses val="autoZero"/>
        <c:auto val="1"/>
        <c:lblAlgn val="ctr"/>
        <c:lblOffset val="100"/>
        <c:noMultiLvlLbl val="0"/>
      </c:catAx>
      <c:valAx>
        <c:axId val="180218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0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our Customers Live ?</cx:v>
        </cx:txData>
      </cx:tx>
      <cx:txPr>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Aptos Narrow" panose="02110004020202020204"/>
            </a:rPr>
            <a:t>Where our Customers Live ?</a:t>
          </a:r>
        </a:p>
      </cx:txPr>
    </cx:title>
    <cx:plotArea>
      <cx:plotAreaRegion>
        <cx:series layoutId="regionMap" uniqueId="{00000000-70A0-4B60-897A-928667D74390}">
          <cx:tx>
            <cx:txData>
              <cx:f>_xlchart.v5.6</cx:f>
              <cx:v>Quantity</cx:v>
            </cx:txData>
          </cx:tx>
          <cx:spPr>
            <a:gradFill flip="none" rotWithShape="1">
              <a:gsLst>
                <a:gs pos="60000">
                  <a:schemeClr val="accent4">
                    <a:lumMod val="75000"/>
                  </a:schemeClr>
                </a:gs>
                <a:gs pos="100000">
                  <a:schemeClr val="accent4">
                    <a:lumMod val="100000"/>
                  </a:schemeClr>
                </a:gs>
              </a:gsLst>
              <a:path path="circle">
                <a:fillToRect l="50000" t="50000" r="50000" b="50000"/>
              </a:path>
              <a:tileRect/>
            </a:gradFill>
            <a:ln>
              <a:solidFill>
                <a:schemeClr val="accent4">
                  <a:lumMod val="50000"/>
                </a:schemeClr>
              </a:solidFill>
            </a:ln>
          </cx:spPr>
          <cx:dataId val="0"/>
          <cx:layoutPr>
            <cx:geography cultureLanguage="en-US" cultureRegion="IN" attribution="Powered by Bing">
              <cx:geoCache provider="{E9337A44-BEBE-4D9F-B70C-5C5E7DAFC167}">
                <cx:binary>5F1Zc9s6sv4rqTxf+mAhCWBqzlQNSEne7cRZzwtL8UKCOwnuv/42bSdjUXKGrjp6uLpKUimbbKjJ
D2j0hu5/3nb/uI3v1+W7LolT/Y/b7s/3QVXl//jjD30b3CdrfZSo2zLT2UN1dJslf2QPD+r2/o+7
ct2q1P+DIGz+cRusy+q+e/+vf8Jo/n12nt2uK5WlH+r7sv94r+u40r+5tvPSu/VdolJX6apUtxX+
872zjtVDVqZq/X7zGvnz/c06fbcs1+mt0rfZ+3f3aaWq/lOf3//5fmMY8v7dH9Nv2+LsXQzMV/Ud
EFN2xDhCjHMunj7v38VZ6j9fNjAhRya8AotT8fNrL9cJUG5w9M7J6rTqf96xk7FHttZ3d+W91vB8
j/+/NszGM8Gb+fd/eSO/vv925GOExAd0/nz/OVXV/d27m2pd3ev375TOHhkteycbn/7zzePr+mMT
1H/9c/ILeIGT37zAffq2/9ulTWj/C+zuffzuMoOp9+sB/zbkTXzELJMxgp+RZ1PkzSOCTMpsApPq
6WufkH8TU7tR3x5iBuLbRAeG9sW6VOnfjzSsccFMi1mIPi1xPkWaHFkUc5sJuPIS6dkM7UZ5k3wG
wpsEB4buv2OQm3frveDLkckJt5/x3VrJ5IgwYsJK3oT3DRztBng6wAyIpyQHB3Ku0j1Ia8qPbEEt
G1vm7jWMxRGDj2UxcwryXI5ew3iDfhbEGxQHhvCnOovrZC8Yg5zmRJimKdDjB0/lNDqinGDMCd3E
+C087UZ5a4QZOG/RHBjS/07Wd1m5B3nNjygIY0Q4LNVNZRvBIiZEUPQ0A2ACvNyO5zO0G+QJ/QyI
JxQHBrCsq31o1lQcWZhQE70mqwk+sizTxphMAJ7N0G58N8lnwLtJcGDoHtfJjyy+q/7+BWzCMuU2
Nk1iTxeweYRtTBEoYz+t6ZcL+C0s7YZ4a4QZKG/RHBjQ4DdZN/flWv/9SIPahYVNMGHsaUsGDXoq
sW2OBKx2mAovoX4TU7ux3h5iBtjbRIeGNqhfeh9WlAB3BwAJKvYrUJMjhDi1hWlNoJ7N0Ss4b9LP
AXmT4uAQBhfeiLCu9oEzP0Kjy4tSttuSAo8npia3GJ54Q5zsbXy9hvaOUWZhvoPuwJD/VMfrch/W
s31EKcIEPevVaGpZgfVMBPjAsbVlWc3laDfakyeagfOE4sAQXsTv3KwEu2ovezUjwrbIsxdMQMBi
ulfDksewtO2f5vXLHftNrO1Ge3uIGYBvEx0Y5kuI+KT7ANw+YhTbloXxkySfAj76xLgFf/Bkx57P
0W6cJ/QzQJ5QHBjCq/g+3UfgAgxpgiwstu0s2KMFx4xaE5f2bE52A7tJPgPXTYIDg/Ukye9LtY73
IKvJEROEWybFT8o2bLsbshpbRxasbAuDn2z8TBwlb+FsN9JbI8wAe4vm0PBO+/2IaY4ILGT2HLrY
EtOjkS1sG/SvTcPqZCY/ryD8knoOui/vPzBkz+7Lfchn64iyRz/n0yLdpVaPthamBEKSL3Wtufzs
RnaDegayG/cfGLLX8fr2fj9BCi7YqC0/B6OmEhqc2LCiQX6TX8rXS4Tn87Ub4wn9DJQnFAeG8xnk
ou3DwQmWMTg3iWlav2Dc3IjFkQ3XIFQxXcJzGdqN7+bzzIB3k+DA0D1fR/twe4gjSODCDEFA8fGz
5b0mRwJb2OZs4r2ey89ubDeoZ0C7cf/BIav1/R72XohBmZAMwgU4tR4/W/IZwcLlwoS0rs2993w9
l6PX0N2gn4XvBsWBITwmwkrQr9blndqLmwNiihB3wBxcmDuRxgyclyaC3XoT6LczthvwV8aZAfwr
lAc2Ac4z/e7fqX8f3+9jgzaPkEUI5T836GnyJuZHxKSQUAJyfvxMLOU3Mrd7BuwaZAb8u8gODPuL
9R1EnvfgILGPIO4M7i3I2v0J64ZeRtARsiFMZeLJqp/P0W6sJ/QzYJ5QHBjC15Dtt5fUAnEkqM0g
XPHsvd7K2kVHsHsLC9I+N+X6fI52Izyhn4HwhOLAEB6zzvNsLzkF7AhWKKxh/qyl7Yg7CttknICO
/vjZRPotnO3GemuEGWhv0RwY3jfr2xJS8dNqH85OfmQxyNQ2ISno8bO1qvGRKcY/4DcbP5Pt+m28
7cZ8xxgzUN9BdWC4X9ynd9ntfnR0cYRH7zZjz/GM6UInFLKLmE2pmFhjb2JqN97bQ8yAe5vowND+
dB+sk/Xfr5mB4Q1BKRuU8leizpA/BOmAGPJ7n4T+ZIXP52s32hP6GVBPKA4M54v78haOeDr//QDq
m0/GUmQLm9vPqbxTwws0cJNjAXbXTkk+n6/dOE/oZ+A8oTg0nDMQ3n8/zHAMFo7bgJaN7acNeyul
Gx1ZJoFUfjxJDbuYy9Ar+G6Qz4F3g+DA0P2oIINbq7t9eMEpHKtCFqXPQcrtKCWDMCZDEOGYmNJv
Ymo3yttDzEB6m+jA0L7I9uIoBU8YnH/8JbBHVWvDZzJmeRIodADG1sTOmsnPbow3nmYGvBv3Hx6y
1X153//9gpraRzazGaPo+SjGVsADH9mWbdp0eswZ3vdsnl5FeHOEeShv0hwY0pfrfA/aNRy4IQLC
0RBvfjSP0RbKoF1DVAuBS2VzDc/lZzfCG9Qz0N24/8CQHaM2rrr39+Eegbw/DJUoIPdvKpsZnJyj
HKJcz4kIm+i+iafdEG8PMQPnbaIDA/vyvlnvpSgF7LU2YZyi5wDG1kKG/CEMZ6lMMck9mM/Rbpwn
9DNAnlAcGMJXUDbK349e/Zgfxu3XSlKwI27BUXZ76uScz9FuhCf0MxCeUBwYwqOQkvdQ6mofEtsG
EMl4nv2VBDHIAzQRQXAcerKO38bVbqR3jDED7R1UB4j4abYu6n3Vi4I92iRQ+O3xs0N0EwEpg0I8
yfaJh3N8/W9g7nXkp4PMhH5KdoDYn9dKv7v6oXS+jyVvgYpNbNicoTLg+NkKZkBqGThToH7FxI4e
kX8ja6+jv2ugmTNgF+kBzoILqGq4D/wfo9aMQeLBKzFMsMEIh4CXuWPlz2bqdeQ3h5iJ+SbR4aE9
noWHs8j7sLnB/wn5Y5Ak/FqkAx+NZ6NBV59kosB6fwtbryK+Ncg8zLfIDhJ1uS5/7Ad3cyztOpZ9
fCWSCf5SW3CIZULRi8fPlk0OCLyBvd/hPx1m9gyYEh7aHAjWeymDAWFsKBUIHhf6WmUbAsXmIPEY
NIEJ7LM5egXvTfo5QG9SHBrCT0K0rIe9OM2h9Cs20c/o5tTtBskKUIcO9LypF+ZZtM/k6hWkt59s
DtrbVIeGuLov97KRw3l5G0GJSP6UkbDtPEdHcBFEPt9tuM3m6xW8N+nnYL1JcXA460j1Wf33r+ux
eDeFouzkZ8lfMMQ2Qp2wrm0oF2tBjvhEeqv5PL2G8mSEWThPaA4N6Sxe7y2kDWdwx7DnblMc5Lcp
YDlved9mc/QKypv0czDepDg4hNNsH+mEEPA0qbAh5vlaWPsxZGabkEg+WcmQtDCPo9cQ3qCfhfAG
xYEh/AmK70NTjT0IaygXCoeswaX6bEZN81JAWI8RbTCzJv6UN7C0G+PpADNAnpIcGMrQCiRVOl7X
+zirx+DILYKiRPZr560h5onG03oM9PCX1RLextVurHeMMQPuHVSHhvhY5XkfFTIg558SAsVhn90n
W7YVJCRB5AziJFMLejZHryC9ST8H5U2KA0P4Cyylei8GFbTAAXOJotdqhT7WjYQaKDaaLOg3sLQb
4+kAM0CekhwYyt+zeB/BDmiswaAyFey/UxMKbCwGx6qhoPemsJ7LyG5gN6hnoLpx/6FBWv/YRzxj
PIyFoXYcJPo+frbKnkD9fSh5wsH9OUF2Jj+vIPuSeg6yL+//P4Ds71nceOCxrdm/f77bHd3g3t6l
Dk5g2DYEKnabwWOkAoMJBbjvilRAUfRfnfWe1K5dPO1G9SXtxjM+PeLvX8p+Gs693ozuV6s/d12t
F49NAl/0o/v91cfHh96GE9JnPXXHC/uVgHty9+d7SNel4FSE3/3qPzgOtKHlPrab+DkrNonuIcrx
53toNzhWFQOgxz0XdCsbNKf2/vkSuDoAYAZ1Thi16ZhBmkJrvODP9+ORPFjtYF2BGxvCWTZ4w3RW
j5egFwcRFpT9hZMBFA5nCvNXD8frLO79LP31Up5/fpfWyXWm0kqP1CD686f7Rn4tZMEJT4iYceCO
QaOekb/8dv1xrIUF7+B/mrzTVuoH9Ep3JnKGrjlpe7NwcUipLO1imVFSy7LqvzIyUFf75m1J+Xkl
+si1kJcsw84zV1UZnFVthmSK0gsjRKXkQ167nW4uu9LWrilK6GOY1T96kX4PlL/ok/hjZIartK9O
CSUfizwPZVj0tRQ50bLE5DxNIkv6BvusI5E5sUiq46H1Pg9Z+NXyAyazbOgcu0uuLJ9e4dZeiCI7
ZXFxElkDPRkar3TqiHCnCbqVHw0LwvMHMw8+1q1vnaa+t8r78gdXvRR6+NLpJJMRSYikJIqkbSap
S3PPQV1WOywPvrS4/ivqGtMJouCY1Fkqc81KmQS0lFVTpY7K6WWUFKdxZFLZluVD0QRYdkZWOUPM
r1RS5k7rF1eh1eSnXVJFy1p5vsuSLJJRUPqOQL53qe0MuYGoB1sW5vDASRNdNia7HRS83NxLgg/E
65EMdHkfVEhchFl8YgmDSI/k/SpINb/SqksWjLWAWh2YsvQr34mSrpWhnwayCbG9Uk3nS7tsrGOz
Y/4H5FO8GvLQl4WvYpmk1Je0bTOpEuovUB+Hx5R28cJQiqzCIB4cOpiS2p0FUyDLjhPPwy7uerSK
Ta2WJsq9pdnSeFEmFVlVGU0WKQ3PcVqcDVV4FaX4pOr9wVUJf/CG0JYhS8yFoRV1+7oPF9hj/Sqq
/XiBwoDDi8D9gpWFWFWh7cuwK+uVILqRiV/mLlJYfUxbxld1bgULUG3DY4Q8z22amEpNqfEhhsQg
mQzwpEVn21LZyF5y36icsG+57DM/XxhJjWUURerU0rpd+ST41BN9XdcoXQQG72VW5dCbRWupAtuS
fSHM01xoKn3cK9kP4ytSJP2r1Vb4OQ0UljoQ6XFfp54knZ/J2EvxlcUDXwb54EkF713S0qiPecuU
DFqzrV1Wq7soUUyikHmLxk+MY1SFy9qKF56XCtkmdi4TkZaSmjSR3AxraYQtd8s8iR27Ce0PA+4+
hF390W6TaKFJiJUTk/gyggMlx1ZUPFTp8KPCTbCsclzLWMTlhcIddWhnu3FZ2Cd233rntsGaFfdS
8yMx6i9KZJXhoqruvFVAOoylqvPbFrhigxFJLwhjqXlQrAzVf8JGi5dd4NsOasRpmhB70bY9lqKp
T6ANRi9zNgxOFfsLlabGqWGiY0Xp50aHlaP94FNShKcsTK9bph3DYBfa+stj5KzO7OZbH8X3rV2d
d6ZhyLTEocvbuj2vNUuPhahCqUoVST9C5wS+LciDs6YxH4qIEwcP8QVqEZaNYF8GnppShQOXlU7u
NNO+9JLkJAv7D5A/dF5bKnGyoKFumvBsFSncyK4JLLfrs042ijFZwu2pJrnDNLWWfQ8Q4iK5qg3/
Ju68v1BWf89NEA8c5Y3LovJMtXjdRba90BH1nUZn/hLXeIUVlUVklosm1ESyAScy1s2F5u3XGkIh
LjPMa9ExLrOEpSfcsuDOCoWyjuLGyavsrA7Rccyb1GlMbxmirLhSouplGIdIGp1wqw5KmXt2JK1G
uV5A7O+RVyfWIku7i5RUt5nJTtLa+hZ7iXWiEizDcvjR4aaUddYdw0PHy4CgWiZ4cGObXQYhSBmR
GZKUrRMJI5NNho+Nwj7u28INiQqlodoPsCOdx0RTx1Pxj4qLY5bSS+znK8MsVn4buICp08UYfrbW
AVfK0ap+0Ipdx0VbLZqsP6kSM1jULHYMM/rgJZ4Be0HtxLQ/C6r4QyIMF6vgUxz5i8BOj1kdp26d
qE+xqpya2KVMPc1k0g/HHsfnKnY40p3UgjiUoHuvTnsJ+5jRrzQnml+rJIod304/IlWWi5c9djc2
3dsMNg3lB8+9k3/9+K9PWQJ/H5vu/ueXY+vl//y0us/GbrR6etOoG/266z+Ne0dd5FcX34mG89S/
+RX157cX36QbjU37XteNHk8Tb+tGj53+nnUjUHLF2CAQEu4tODoxtqr4pRtBErbFCIWTU3TsgACh
gp+6EQYisG+hMySHUkIMrNxn1QhiiHDa5jHvS0DDKkTxW1SjMfVvUzMyTQxGlYCsUBgLEkg3NaMi
K8yKB2FwXdShxY+LqDWUtNgVJiooc5iOnjEsojxrYbbV+YCECxPY9Ny+6qpyyVGCq5vWxr54aLk+
Lo2Ueus8SkIEEjGNjTN4aO2dYlhSeOEPhuFfm1GqkgA2vCBvHFyTru7kYA0xCHEtPBVIlrJRfPS2
DbO8ogI2prKv2QDLVhXBMWz6upBxaBmSdqy0jgu/FKGTJjqVdtHG5ZVvxnUha9q3bOFzlNky4raL
hqo27i0QHav/j1P/5SS2YAf43ax/aVw9GWaPavYj1U+TAEP9w7H8HYJG1I+T+MW0hwy28XwReN05
zLxxTv6c9mAs4PEoMBotQuhxDdbCT5OAQLdjGBCUeA7ZT1Ce+i3zHm/NewGFPqCEqg0hWgo587DA
XloE1UCzvKjr7jJtqVg0rRfkMqMhi5yItc0H27D607Br0miBUFR9rzKz+RyZuitAvKbF1xdvb4eB
Mhbl3VyFUE4KulhBJ1hzbAk8uq5ecmOmfR6JoG4uSZHiS1DkQaOqWWYHTtdUmZBNa9bfWZPD2iwT
XhVOEZYRbOiDZqYDJ6fTO1FV6ArGCGqXxDH+PFgGx6vetrx73Bu4W/6eYwKiaYtjONgLhUzBThvl
0IRjxQLAtq8uaWf5vmt3Q/y5gZA3XVaszyzZ9B2oLop5XA7MHtXHCNFV0pQ9dssmq+6CTmvsKCO3
XF2prJFVEqBGwoKG3c7PQCJFtThNtAi0Cw4j8UUHxVkUt1a3UNqwL1QZNMnTSn7qE78Dh20YoDQ2
ghYH0HMZjjU+PvQLM5H1ht8aeawv08oTXzKfYyLNiMDUyNO6u267UtzkHo6//f5ljnPtpXUKtUjA
PGUU2phBr2/YDjbfpYU638y1n16mfMCXOArqy1SXjuJe8OX33wTLZ+ubBBz7YVBfFvxsfDLP8tTs
h6IMskueI3NdtFkZr7yK90RGebBART2aPajnmRNSq03+26QZJ8Xmg8JEgZ4CJvTdg36L06+HdAkV
+GmiLlkRWeskrK11FI88WEOiF3aZZbJHAP2qBQ2JgNKYsfsqFvqkFb153tm0RA5twyxyQpYmn2mZ
E+oGvO/vc6MBK8kYEuZYIjPLY4vaQy1///bG/jNT/tkoNiCxFvpyw/a8CRSyayu1LM+4wLWXrFVZ
gVKNjagCTZv2feqftoGKfvhc5OfdUARLOzM75RDcsIcKLILM6QOfOWYWNveqpOyusfKAnf6eSdPa
AhkMI5hEY9Qakv0tBgrHS2Fil1yhMqjoRWgWuSe4W4lgWHVVR8WyauraKbsCfWiS3qplEATMKXG6
0qTMwbLNiRPFRfIxj62kkyxu/a9tmGQnva4qmVtF/tnWEXe9IvWcOgtDJVVFw1Z6oU4v29zQV4Ux
0IXvYwFK8uCliUOaIDm27Cr+SEL/2u9T2sm4ZsVl5RWfKpIY1LUbAi9S9QRkg1kPg0QtD8/jwOLf
PVSbp4EN6u3gd41wWhSYYLjEvToxeNknsu354OLWMtwh7G5zXVQ3NTJYAIZkxZaeLuoT0yPkUxHg
Nlp5zMBKDkHk/YDE+rKRKi2Mv+qEJW6ea3ICNmR+ggsR36kmB0M0p0l0o4TXMdkUpn9aemXt9PAe
Vtgk4qpok25htmWxxBgMikUM7elAdWl9XjgNCbxFomnp1rm4CjzDRy7GWXUMWw1pnRSBT4BXLP7W
JSg4I6XIbyxaWatahAZZajsZ1tzOyoVGXTgsm4j7S6Pr0JrouH3Qfp5bzkAqMFtSnzT+sqvCDBZH
2y56v6n5ssy8wI0rmhyncKuEDajM4EUnDZOhDkPDYV7LJMusbpBmFXsOrYw0WZV2tPDNukcfWopN
V+kSxTKEmVQtadUKveoo687taBhi70PdFlWSyF7FfVreBWB6keG7bo2OgYInShDl2S3pk7AC/1Fd
1XWOLquoSqLuVKhiWDWirryTpFQqlyGJsxvEDHoS9pTWTg0YeOCCQAK0wyDh3E09D/bDKo7aYmFH
rY+cMq6wdxUUyGbZcdQzMLn6LhbVua0rCjOq9TKsW6eGvXBpG0HoXTWwdGzfKXjOYcLRSCfLNFal
kHEBm5e36BplO4YHDm1wf3goNaHbIVjNDjirWm/ZxixOFtoDrWAJ7sRkcPhggcRMSWTWThKURiwb
3fv6WisjSRaZr/iDUTdMIRdlpFopk9f80jI83ztNKauYBXprp4uhP9aQElgGixycfsnC081QLEWp
U7XsYzvpj5HWSe5YpAc1mXVWH69AF1aGA7CSr0aeDNiFSjpR4sI/ZFyBZWxoeOVp+jVMEpGc0FJU
8SIKKvvjADo1XYZGRvBZ0AbgV5AsIEG18somT29gM6anoT8Q8N3lwMEiAz/GsOC4G4TDwz5vLxLe
w9Q2YKmUrodxfVpSy4pd36M++HfSBuBUTIN+kg4hHe7jCDKpXA4MJC7tk6A4wUiZx75ike2AI7Kg
rsqU5w61B85Qoy1zcR16bWg6VBXhIJM8HIwz5MXmEueebwG7guUL3AdDdgJeqNZfRMIMWjneJ7FQ
IoXp49PC6VplDLLqlPFXCW1kekMqWEfkEg+pGpTkjWnQT33ckvrSzkWfuakoqgurTmFL8jWLgEAk
FN4WmCU4/T7gOA1OC3DrdkvdWoM6w5VffTJDYq2tDsx3yTFM3mWddowutD0oYL7GYeLGtIi0w1tv
AY684nvctqBZhH7Y3GjLbn/kZUCPG9b63oJHFiIy5R6MY8VZ2C3TssGXQ5dT84OuLPwJVwbc0dqG
5k6Fe9YtGpKE6rjsCGlPUuZrcqUMJr6kqBgnZxgWesViHejrrgdjz0FFC9gEbQqMZRqE7hnsYOIL
5QhmdwJSsnShgFqXnVRgj5HrsKyj6CPhqTBPOjNs6wsw/UblM+i7aysy7G6RtQl8NfiqB3AikaQa
Vihi48OPrLcgn4CvPMGXppXCU9SFBa8qiLJocETUwNLJYz9SH9KSwZIva9AKfLgGMpVUaXBVYLMv
U0nzAAHcbdnVF4kR5OCkRHXRLTsoPEMXfVOQUWjAYnLgiUCAdAKPenKVJl886D14yhuluOQBOAid
rvftdZtSYKMrw/4jrTqkz3xQc8OzLE+j8IbDbrHSKcKXhfCL73CU2i5kYAaKnGbcF/WZF2R+4/Yl
K1pQcHu6ygm8Vgexor+N4si67mqNsuMC9U30tbUTX4MH2Uge+kGMMkQVceCCHcDpQpE+0MvcTsRX
Y4w1JG3uF5KZIOb6sg0+qqzSZyKJQnBEk5L4IPYsE7ajgIgvZWg0/iImKSyTwfCoODHTDBf3CQjk
/hQ6scHaaEeJvQBzGd5o1wzNAjaZtjjDJXiQHE/EVQM7LW0QqN5F+FcpGvHJ6EFNPx1EVeK7Sqe9
BtcYZs2JagkM1SU4GByz9W3/JAdYWseIhL0csqapLrqexTdhAxY6Z/rYTDrwvw+tDeBECOthlcdR
ll2kdmeeGxUys0VQpElz5vdtHjjc0knwCTQRfYdECmIERCe4wKNAt1qKtuEF7AJ9cRP7BVbfcDZQ
3sgBNLD+c15RQ8Bg2isXATMi/9Tw8vZH4COjcWKm7ehECYQ/dNrwhlVZF1ot1FDDJFWkCul1F8WD
dQm+5ziWRd4g+8LEgdk5PWg3etEGOaDW8lT5shxYArJD63gBTuWudJuY8HI18AJmf2R2PnN7CF9o
x8u1XXxtrR5/CoMS5hrsdOILzPVEX6cixSBgSS7CJU8Cu5Vd/Z3wuuWjh75hny2SFq3bWn5lXpge
eD8/Fp4WJWzuMKMXuaKAJhgOfXeuaBVl56zMA3pNOhTbJ16XCXiurjP8i6g08tZNtAcyA7SxurqI
wQ0KZqSI/KUOeBS4bYfQSV+YsO7B5wJeXtML2MWjVvoc0rx+UvKfYnIv3XgvvXpz3IMX6rbMdPZQ
Tf2DGwP933MiWmBove5EfM7dfOmBeYrLjmQ//SmQbQqBSwR5aQg0S+i69sKfQiFjjVrUwhZkrv3H
mYKPoFL5WNzWJLBJiTET+aczBXySY290OB4qLDhGBImNPx2pG1hCXPn555fxVTYeLd8wjOCIKTR2
BMsSNCMOrIzegheGMyiOnV0UOrlOcW6aF5rUHlj8tUKJBZZRS4TsuqbhMmb5bdEkfw3ZEKw6I70x
DS+QlP3omxaUn9o/LkECFrlKZcVBpahNdokqXDhGWMcyyztTeploXMvvgyXJbTBgcv/SMLzIaZoA
Yl1edqX76s6wo1xaor0zcwNETKadWoCRlnF11plDLKkIL4y8uC5RZrlZQIdL0Iwat/LgGuvLOwho
ZrATlT8aVS2HJOpXcBzrh9HhZdBWWLLOP2asukyHqIDlGnjSKtrvLTc+x1UfO2GEb6hVffOhRMdK
cIOvMChnVz4cOlmA36uStRWVoL/4a8aGbKWtppFclB8g8niVmUUsg4HcgJ8MdpxafegIOk2QdW9W
yYqW7Vqb6swkfeSUhuF0nJyBagd3i+MEld9qqk6yrrbdNPK/Zdr+JsIftM1caDh0q4W4LYm+Kgf1
1cq628jkiQsuicGF1rvXBjArS6s9TgJlyBCMAdhRan/ZR+oGgpaXdW5cDrTwnBApInsCcUer4MlJ
iEHWW7gCgwuZ14bVxmcghH1pGWBZ+h0+CwPbX4VGbS8LP74IihotuO7AjjROSVuUUrDqlGdNKJFI
rvLeFE4fFfykzFOy6qt2xZswc0tVB07ex3wVsaB0Q5Q0C7vxuoVVEyRxDFdZT45Lv/3icbaMVX1t
o/oKZSnsToYoVqWZOqAgcYicRSfE8iPZVa0vzXbopY3Kk8SwSqckhreCheY5bdacgWJxGQAUcGf5
IzTKj3ZjXYPdceKHDILyJFyZYfY5qcxjgbtURoP9uQoLiRL/i86qexsRw4kGkkmrtk0wH0Ww5PXw
LQ2L3PVJfuqx/KtR19qNdfvZEFXuAGm8GGKjWNAmuukN0i8oASsUzMaHRBuJo7L8wuzFVWT2vqz6
jkieQWywa9pFx7vsirWJD2ul5G6YKeJ4kThuwe6SES27deXloYt07rm01OA8j8KvdeSyWH2mFY5h
Biq2gLXmmmZTO2CZVqtUV6m0QCE/7jABCzFDZ6P+b6bG4ILKSV1w6H/omzBY9GkxuIwklyolqeyN
znYg4lk6nT+M29E6ApfDONduTHpq9A8RKhJp+OXHjOkF7bvQBT/EgpvZF7DlHhCEtyGEaj6UA/ou
tDhHbXyZ9/0NKExMWtoIFnYfdLJPio9BrdexOSRS9Sc8G07NWsTg0OiQhLkXwjZtOiXvH4gu/4LQ
2lmbVR/i3LiomjBaQjaJO0TdBRVN52DUQAAxBbdTWEdI1iJonLKqHnKw5GTctcSNO7ZWRfkXZJgg
qTOICpMM/MFdy+3TCkL6UoPP1YlD8xtI3ULafallE9u3FeamxDZRLgjkM22UkKqh63oZDM1p5dHG
IaX/0Q66/2XvTJYjx7Wk/Sr9AmwDZ3J5OcQcmsfc0KSUEgQIAgRJcMDTt0flzf9mDbfKyuzvRVv3
pqasUEgh8uAc988P3zgLadYFTbAZNbqLjo5uPgR6F7VRoWsGR7le7sdQo7nlshRLPRe6YV4pZdjj
plO4JZLoLHrGS7VUV0r4Mg9MteQxLNuqCq5Vl96nVbDzlzXJI4nR2qziruq6Kwg2ekPHRLz088Dy
ap5ODoF9acTlxg75M5akj1k0zZh80znIwQ68LxLOignYZprlAQX9bg3UhI63XQocALddMHkZC8Ni
CpNkWxN2sYT9IAsj9VAl8lBXUZA3WpyGerplYSAzj7dZxfwBqkTvlpIKvHaa7sOIJzsrzfugwAKk
XQ/aQHp1HnHt5PCUvmHhBc6LumfbJHVuMei9Rz7ubS3iJA/axMnFQjGMVlZeETANWa/0i5u0VQ7l
EyTIukQAYkCC1AlxC4WaHXaSbDgj40aM6t2k7Fl1uJDmSm7WkfaZi195huOuz2ffbzBgErqBnYHP
FPrB3vfnXUoD6CJ10OCmCQU+pemxXpvbGWdiPvIE1Ek4cPhsIc2FA9bFJHFTGAgzWSImduocOxdA
h86r46sMQs2cUzLPmdNEj+G4bjHNfoQqvOG0+1xcfLkh4C/wyxigHAeXnpEniJj6Kg7tGec/lDzQ
A9gMsx9F1+fB6pmygTH2ogUX+8HqR9/DjS+k/+yswfXIxo9Zi01a8Ucc9uTIInhrOP/3A6PXMdMP
qW12vjPMGMWni5qnTLYG864Kfbh3GBfUFMz4VsKpgOfxlS3KKdpeQXhRnd2sKrlzq1aXYQh0R9pF
ll2HlnQSptqTfn2LHFwMYz15m6ZJHhYZN1lSOQdG6VvP44I2Tp0tvNsqrfD6uLtRzeRmCmxR6bjh
144vwcaMDFMbMBOuoxtioicVRNuqE8vOUv8bJ7AG/Ql0iOdBdUkWCbE2FiYbIW9mRMGslNwdL5pk
mmnrvkaAvNKgYaXt8IsF0jIU9erTgsfrnEcOfyPSOzdshkDFKp7rqTuySeCjHvvtajHiGh9ajyHN
jtNxgbTv47wbvSbTXiVzxXtRgq77qKmzZDqh/WZyfZKrdpoKRdYc4/ClqkbPbULdjNIqzFvtPNT9
/NinqcokS3M1C1AiLnAyk4w5HZQuvKC+H6NYl5UY94aaIW9J+hhIc0PFnOb+MM5l24E40BHuJ38a
Nwt1ROE1cu+gc8INyUk+e8N7R9ubxcN5jk8LRwjf6YjMudXsc4aJ63TRt4g4D44PKTZu4wnQRPMt
xiwHL8r7Oq39EU7RnK1x+HWY4q1OTF9I6h4q6csitQDOlqh5pm075HrpvTwxUc6ddkOrd5LQExqD
ACAQOAzX8EMX9m7eGc6vPKb2le7xZ0nzSp0Q3NDMH9w+AbdmnLu4TaPMg3gdpPPzgp4ri2rbZWOn
ZKlHWMwQwGnWNho/TqAx0s19UCoVHBOtbpJkBSsXa5HjvvuGlYktRGkMv7TxN2QyL92EW7fu3VtB
ZZ/jWjj7ERtLGXJInU13HzH8jqAG+2gvF9TpXp6XoJebPgoObjJ+5e065C4bn/VSowYZ8ggH/LCs
4sELnLaYB5TUmLxPk8XFD6kiS8d4LpQwp27oN5IsSUYgyqMcEoWrln+m6I3rKaqzbpGftu0xvkue
0d7uPU++MM6LMeaP3dQ1+YAuD+IW+kyNK7NO53irBMM3aeItWfpvUY2WLlbLq9+i5wNMlzPBXwzg
nArIWd3Itypp3vloroNAH1o2ugVtlw10UZyUvt6tOr5bardcwhYykVb3y5DuuiDdp1DpNeE3cF/z
lblrtvp1WVeiZP106qE4GdblIiSTdxi4u+aaxl5zK6SNXlbFouRKO+GE/xCOII7WJMpN2Dnf/ZP/
35Pq/7wZ9PIw538/g35fpvn7EfSXR0D/k2S5PLwMvImHAdT7J8r7E8mCyA2asyC4ePQXwPaflj5Q
3hBAMBgTACaQ4lwQJv+aQgnyk0mcYl0JvNTw7wyhSOP9dgi95D5IiIcCRARvGPzGRq1w8fhhxdZr
Jm/8NR5zUKTQVcb0cbHejNvF01nqyVNixV2yBu9rJ+CCONbN5hrTzMoGaGBjegCKew2jVuWLE72n
dXMWJn2yl0Nylt8MRiLtoCdnafwqurZDixkBvZuheXrtSc3+nE/VlGIc8K9moutcRCTIdNQ8RTSy
G19FbeZWOve8ChOtF740In6iq3130BR979i1eWzYeNOnwRU8YHdL0uQepsmjUgu9qqbxoOapw3Ew
HN2EoxmU06ZdFH5mW/AErF1i9iapNwCuq4yHciNr59l0LE/HMAu99ErASrLQMgsZA8Gs5OCWFmQm
Z3qjE5EUkEMzUBsfKmXXQ+NGGWV6vbcoS2yq/NztBpR+NE0h91nuRAEwIenwMnXC19Y2XhnNVVwu
jIhDrFha6NkdCgdc5RKrC804FQK2ZQFLF5UNQpXvmvto7VRp+/Cp15Nucsr64D6NDR1TDMsKwOMS
DYN9dOfZ8nxKQl0XoR5JXQo+Tv0VBF0OQKmmIigqhWlAo4lKoqlsBozul0N/nqLSDGgDOaXbhQRT
HttKZ1XoPgYxzrA2Dj47Hp4FGYBbjPaLDZo6iwZcOHVlHuGkfGHis6/Cgw4ERrpg2K/GHJc+5mhE
5U55xCnrBk4bhNJzSlSbN6t/rGvyvAbRoe1Qd9twfdNuqB+DdrijbXDnArqcu3kPCGq7cF7tWFj5
YAurnRxqlVPtH1fTgCt1uni/OiussDZ5cqY+AenkbObU2xIGWWVgCh3SvLcpDjmiuigLKA7WCfTv
BKuSMZDkJLY30qs2vgk3g4MRvu/NkxXiWYTeN+XjM6u4fiGJOsmqeVzj+pW2/c1SNyxfxmTXSPsy
9CjwRNW7auFxLgIQz8t4aOHl5h63LxOYTOnqt3FlJR6gd0w5A77YvUZsHovKnwUkYAlyqxcPJugf
a+geOKeDAd9ac2yWseysi+M5ftVwYaC+ROe+i+9sHWyJXz2DYlm2ZF3z1pgvYULvYBhuYlde+0F4
vXQEfVpkvRNPJoN/kifbgKbx6aaRH03TZmYaeTnM1VaxmWSpCC6d/nrDorBISIX/Mhs08vHwYs2w
5FXkvQH4lnkI+CcnA85sQb1smtaHyEIaWpSIQTbHD1JStAvk1Sb1WaTLre85W5c06JZ1+lG1ZNem
CS6jWO8n0+ICrB4Et0tZce8z5EGHG8p9wGX8Eo8A39xKXY0suh1S/yO1a19yZ75R1dxk7eAGeUW9
uKgrGWYiqlN4x72bhc0ibtYmvWsa1JV67fS+mmpStqs7b2SUvi/VCMZC31TQ+/MqDqtimEmVt4C7
y56Hxw4T8g109K2zqlreVpPm9510v1ar70ErsYgiqJNv6bsr3YMRZoWNkTrl2HiQzChm3g7mBXQZ
uUkbrD0E+AyetW6KvunQ1ow6zTrgBxk2KYyoReiIq6A/WTc+jp57YMbd1/V411MoYGT295ENrhbj
HFWLn5I1uujGmmShdYJiBWXE6xbKRBwU/y3i9P/AIx867L8/8i8PtPiDAx+v+aE54xHFCRIz4Pc8
PG3nFz71x4F/iW5BbyYQfiOo0uFPB36CZfHgiy9PpwfURC7n8I8DHysqoVADGsMCHBcvi/7WiZ9e
SJafeSKwsUgDonNAxxET77eky2AJWw3UtSvqS3vS6AtgCypQ+gHOGzoBJLGV8abM8aJaFMlYxeq8
knYwpWF8zeoxJOKcXGTqMfMo3oPmA1mdoKwcE/C0hNcCNcu3iAEs2TxyAxrGtE5XWELRpWM+cNJu
PwQ96lY6hdFya3gMxL12gL7HYe/kZpHPQMtZDvBgN0pA7sMwjTiegLr1rEddos6wqQx54BggexmJ
UrW8gH90J1cGpcFFW6+q7tip9ih1dXLn5WkdOpbhMK0yzM1IhOxFS8FK0A56S8QZCMaRQrKK54wl
ODpNZWk2Lfa5jdMbyFyIRFCcMgaTLmaFDrpr3BVzmxwuqoIHTqhgZnoZFwzzLhXHlpGwaNV6Myi5
buZoivLIpCgmkx5zP7ZL0YyRKMgqbbmGfYg8gFeS0KwFN1Du52T6cILlKBwIQAb8TN5W7seydArd
+wCcX+PUw5jVugLFG2kDsOlPJlzbnOv5NJjG5BObvNIq/x5Bio2OjbepGpSwizBX9VW3D2rY0Uug
rrin7rSeUecwfkc2r6GTZXANcSbDTDXiPYB8mQEcLEafQG9oClEHTj519BBUbdl3kHUgE/mZNy48
64VqNskaOxvHH+E5W3fTiJ6fyGq3LqXPRkqeN2iStv7qs8KJ6A14ZNhn6Zi7ejxMBqK2Jv0zVSuu
xCY8rqt7P9KljBYxIeLj4lTld1ROJxb6BRxzk0WABsoKfAd0QKfa9U1VI56V3pBQQR/V/qcS7rBz
8VzUPJTqKnTluK19UCx+84hFJk8tBGiArdcwyJHbSBvwiwJwdCL4hov2aY6TYhV1Zoj/SjqjipiH
22kW90sT7iXV0MKrGucIbPJ8HfiEC92rj13XAy9JLdnV8/wsAbQjBDE+L9X85AbDQzDgfMWguZV1
es2HEAJ0kgXh+L7ElcwGOQPBiZsOWiXO3MQFBDKa+4pjsFXcNaVa6Z4OAd3pUd+ZyL6CdPqiQ6iQ
C4Ooii5Cl3wK3Dwg5nFiJMrcJmAF4NiD46gDcM43aZM+I1R7uafc+zSMNugfH7qBbCGf3cyEYQxg
/j2mh6RIatICHHeuaB2cWdw5ud+wzcLEMwtiuZXu+tZSu4AnojszQVxw6iTNpdMgK9ei5RhH+cql
nvD5oOsSi02OKYjJInXJlhLbn1jUwMOPcZF6IihhmkVZ5MwbMazXrht89qKeMtXrqy6OH5Wu6kPf
IkUWuctnw9I7HkCzipDKg6mxrNlg12/z1HK0Hsh+oAMIci+BrNkNo7sV8azySqB7rhpcOliHkDUu
VBLVMczOoHCBGta7hi5vUT3KcoykLJcoPZtQn10n+GyABBZqEVBEG6gRIXg565Bv/RwcqWK71apX
4CTo54HsxH4z5x3sHIIOfZMsDqQ9E90Fixfs6Yg533KUEtfjZ7dpDyvsvXXkR6C2t7yvjq3g+3rU
91WNdNaSDoWc+9OqquvI6R465A8u/CSsE0SqjinqImojwofItpWxMvOWN+pZqnHN4znFPTvAb6vm
vgSBMOZsmp/SYTTI8ji4p2WHL86a18UfYerHy6ZBvC1rE4xzKdCUTbPWz978OfdAB4FfsVKuwbGO
2tdlxSfqpuZezKNXVpMCXBFfNDLnyQvCz5pieFqbmGTWD/dkUF+BiH6xPfk2ubgYOhk9dD1+YTPW
shahGAeUCIl5qo1vYDWU1K9cGB6zkwkxgQBr7vCjFrOpr20bBJsw0ElOJ0QcrYhPMG4vWCvZG4Xu
21TJsg/m8N7rqpc6TkEvCPbZzlBfq2DGpDZbuRua6dGXyuZRDJ4PoPKUDt/p1//twsjlKRh/1iX9
QyCv9PH220bp+8t+NEqXpylcHjmZgLdLgl/iOj8aJfj2fgxNhPjoiaB+/Muf9+P/TLEFDg+xQwYn
QE4Cf/RToxRCSYGQgqRPkHre32mUwOL8tlG6RKkjaCwxeECSIjP0K38+WahOIQmYa87G7pCINECv
sRwTKXQemv4pattC87HZSRUL+wnDXDu3ZoVApy3Lwf6J27TuIMo36+1Ig4NCknijxYBEoF0B7aPs
bJmYggzZ4w1tpnoPMpTktKuCDOwOrfN00nLTxh2qFRqV17SGvOpEMWA+4Hk8Rx46OEyLYw/wXpa6
ytdkZZg3mmL1Kmc3Ov03mkqLvACptqsLv6F2mxRhSzo9dZCXjh7K7jnxJcBcdt8Zv+7KpF3JpnMT
Vky9g5jhlMoCg65fCIHx14tSsDxuemzifiw1dVH/vHETLt1VEqJET75KN5OwS+ZUI3i/Ws47eGNX
7jCk+Sj1az/TE6assiZr4Q3emQT0OFvYZSPvTMbAKWU8SXKklUwp8RvOaOWMJd6MfqtmFX1ZLZ+q
jYaUgePYAUtaD+4u7c1d3fj3CSfS7LuodsZbhkzxLtRdLnUd7XS4DvI+GkkKvcNU8QR8AuF0353R
bYRV+A3Zx3l/2W+5NbJpCtvKm5UPV5BpDlLUV5p4x2R0NmqYDw6MRWXBAWmJOK7NQ9Z9zNK7Y2P6
+n8jFqowAn241f79iHVSw3/8A4/xEZ/DbwvI95f+KCCYtBAPvKinHqrFLzPTjwLiJlgzFyRh8H19
wkU//SGtBtgLCwAAZQfrYwmCgv8qIFg/mCYYsTC6IeeBIe3vFJA/yD1AqIV4i6cLoL0glz//Ce/h
QPngQaT8ChqGDWOgn9tAP//0wfwBRPQ9avjzNIcMDD5RL8SG1MDDA8UuReynd9GI0YrQhvxqVJwJ
tIoEUf60h1VdYV9ByX1kYhTgzlNMoZSarua5sNUR+B2/I119K1iy9cKanWZCTEFcJ8zdBNiQcBnJ
CUVN8tq9meozm2BHGPdE7HwL/vWsrYKQ51+znh4Ib9asnS5CIbziTXzpliuMI8AE0w8XlnsGwhp/
ODbwPYX5xsKlR48bIX3cVyZNswqvXzAXZghAVdFhRiZlW81LXIwOguE89eBdGqvADY0SCLsXPAHb
jAHohv4XhCGGzIH2vGWkqaOyNrrDQLjq5lkpd4Xl0ZB1R9Ou4nvXlyMoUD+5itZhXbaxaThU0qRG
AfI7P3mynkbcXXtAxR0bhVtXzQil5J0bA1LF7NWOa5WRJXSuE+05Z3z9DtlOmF7OYo7KkdtEoc2O
TAVEp/ZE0ccJ2/kiaA5m0VFyg/cb/C/hSuPh6K1qUgVdfQAdfbjc1C7vsGdhTdHNRfFhooa+Xp5F
9DzFWA6QiNXeB6M0AZCNBtwNEoSz3SX1VCFRPw8plG7o2JEMsLPAkKDwugU6ukEHqild95MXwo01
BrgKPnPolXZ4G2p6XNaJ4mNPPKhviId4rVtitwjLqJjmOzuZA8eahzJVbnpH19BFoYYGnqzgclTX
knxpggJB7yLW7DlpQxAQtp2KSDNb9hACADVEJFvEwg6IFtVlPGIOHEfh5hJMxRUoBigNK1jryJ92
cyCh1S3ecEs77paJ056ZFOcJQP0GGOhtoMI9zmNM+pHYYa1JU1Cf3AzpfD9CP36k05J8U/DtB94U
0bxE3xQzRdgORVNp94E4ZoPed+N4qoHsjq42GTBPItMwRN3HMIx46hSe9snXJ82dovenQ7q0GxQQ
YMV2GyzkvCYTJrpx54beycLTpf30jpn9rFtnI2a39HsNBXb9Ko3NqPqKFI5bzJHwoeFTfBPh9BpG
7F3YKCjhmA+HEZkXoPv2hO0ie5965wibUSCpviJnViCNIQqZxOiqow31kp0h9nWphpK2FVJeRGd+
RTE8gLfe8xCxQaD9BVa63OBnvAuNkcXCLC1YXw15MBF2roOoyevKux2FHM5oNY7UW3AxX2YiDfSn
qWJcZe16THETERVnXtoXS5Kcks4/BYt6duyYN2F8bzx6K3V3ivHvk5eeWjPd1ik7CK8rvQrTAaVL
BtYOKwPquYN8oaDK9+SqcZovqnG/IOl8wObmoxLJAWrHrZ3dAjQ2fFpxDgNwAEKvRxvHOyQ3a8Dn
61fdxDtzcT96aDj1AojJzsDf7LrXVsrDmKiPdq1iTJ1SQPPE0BcufrPVabetBte5s6uj/yKW5/p/
UN8vuTzsIwbh4uPvv6689eq2wxoJdqU07JtJpFhFMmH3TdtO4jS2/ozmqdpQVbf7trOfbqeHW60b
8pDYBCbWstyZiy6yVEWTxs9kGbfoVL6Bo6dIVWHVAOVQ2CN0Y8rimhYVy1UVDvnME2SP9OQVcTLu
JqXe+9ianPHhyYtrXU7uCLeJNBizZT7rfFj2btfE2VjJrcv7rRdMN8IDQNnGH6to703MD8iQHO0g
Dtp4p7hTp2TwsFJlRrZjWNnOWyBsDBPLo8pRmxq7eWhI4mIgw12wGmAFdXQgNUYs4AHkVI1AQHi/
PHKG1jaNECr3Vu86YFaCmIhWCBTNeeoAjw5838zhNpxHVjBs56lkA+MqgRgEYGPjwHoIaXcC+Y1e
WSKeIeajMO0O51qf4bu0ONeGDSiQ64aLO0wE0OvkJIpIOlAOOwKZq78BGDUVLVx9ODf8McD+IiBu
7C0lMVCTiyCICzTpLZgZ/dFosnU7wLeB+wrSoGh9iHZpsJtRh/wBTyxP4xPR0CBp6nxUbmQzxBey
CNZH1ojW3TvdpZaNJxZHLx4RG4IYQ5Y4zevaem7Oh7Upg5pe+zZ0C1l70Lw6MFqIoZgnBfzpyMDJ
nQViIfs/bxIuHPFvWgQMREkS42GymKkuj4r+uUXgtr+MtgiQwuwtfH7osbbpz98BLdNP74AvieEN
NG4CkSi4PD3nN+FJpEYl9GtKr0SEAGN0zQzbse6un7G5qRc5w7KolJd//p5w0P/iXS8/90+tj+ma
sQt8xzlDRb0P4b5niJPe41R8oQF6D2zZ4YDVwueo8mEkSdDOiPvhroD+Q0DB5LK3L8qJT2zEeitw
NxuRzu57Ugdx0RL+GCXtDGxqPcYieIVYtMDO8iODq0mq0thYlknnYB1WNyU5+K11bxBgeleSjxug
lYioMPZV4FotEbWrC1TgtRiTiOSTSe9NIOwW9fARo5i3b6l/UwPAhnSyw6H0MPT9JrqkN7wQy4NI
7ZScoEMRs5TgogzJdRsFRT+HWPvAljuvllBv2JRrn8JfTtcjLvpvegCVCc173wcOVrAED4vlzwFp
DuGoIBU1aNZY5YO7HsGNI6O7byw/gi0u5Fp5hS8IwQHToMqS54kAnGW8PSdYmCX7uZwqiyuYlM1I
EfPzu0LxNsk6y7FwSFTn7qLLhPHOVZCTE7rc1xFHA9c5D2YEYu77mHJtPG6djsHWN+otovrck/ZW
dy3w0WXMBvcwhZOTTaGPBTEJKqLrPsq13i3VsmAyNVcdAIGCd+G+74NPmImQ1pFU0mGwpV1wiuGb
/sXl9lfXOCaKn682SFTx5AHdPfOTvAE+v9FH/TRv7T7cRacER0/+FbZ3eHDP2PV0/PM3v+x7+4Mb
LPZ9EK/Y/HcRX35+c7erE9kA5jp3RZjJk5d3GywAcY/Oc7whJXm8dvLT81RysLNv+Iu4Wk8kO7BN
deWD7/qL7+bXB9/3u90naC8TH8QIzr9ffzMrmdvAdXl9VZObzheIlD330+7Pf+Jf16zfv8dvtBfb
t8apa0zeSn/Sfpeut3/+9f/wZ4hh0sRQnpCq/81vE8kLiLYIg14p50ZDFOhD9JzfK9T/du0vxFrK
nz7s320+/IdA0uTz95P75VX/b3IH3xQAhwLOj8cmQ+L7KZcDXupinoYhUh2p5+JS/zG5Y6ZHJMcn
IbqtBEtI8Ev7If0l/3kZ6WM8bdtPQS5jO8rfiObg4SK/ut+w+jDBbYalErBJ8X3ipvv1JU77eObc
T8S14+pXyoBhWhhh7hruhdvKjKOuDb0BsAG0Y4IB4NNTuuqrObmwe3Or9y0Dqw+bMu8vzhv6pQ2B
FTdfPLkE6nw+UdyhY1VEjgIV5Y5P7OLiCdh59cXXm5x+J5rhrY0Wmhk3+Kg8NuSg6ikK63JcYA82
F5/wMtoWEFGB9k+AaC5uIjGAUfs2XAok48Y8vriOwUqifLw4kRKWpLeCL/dgUpqLW4ls3It/8S8R
WfxQJDpgBQZsp4vHSSe4nTicsrDGWggJI9Sm7jOKP0b5i0da186MdBJ8U35xUO3FS20vrmpcYZwZ
N+vFbUXCiWUeDFhb0/MYy2MHY7bGz5Spi1fbet7dzJoC4kFbNrBzK9d7qFYxQkY0LRAIH0tOLu5v
1zgwyGAIt/4K1j7pnpOLVxzhbDI0DyfN6P3o8e4L0fMT6OH5OCbDdefDVBDujDg+Qgiwt/cYG7dt
N4P2ASOFKAskVeNjoqqr5FxT78nX2N1n2HwNRisqm8bYwgstLW2K8wVLk5yto8yd79QfoajUFqng
3EXW96iit3F5QyB6E3TR27D6amt67D0EPwWPdG7VU+rW8l4Q0TWfjNqPeanvrE+gbpoO01bT10ny
htV1VxWu7z2B0LFbRk9de32VXgdtNRzWtMqDFMLoHEe7sYfPR5AQyOsgXa98bhFCZKqdt9in8DxL
jB/YGHX2F/WJjKW3I4qmGE+hddjsl9v7/+pcAD7j38uU9788A+b3de7yqh91DhYHKpLrRjEqXfjL
itUfCuUlmkiixL88mO77Zqaf6tzlfw3BjkDbuyxy/bnOwQ6BleVi/RI2vwR/a8Wrm/y6qfllxetl
MIBI6SEFGRN86z/3FciycewO8dbrBAmNm5iv7R1zu/hFicA7rHOD2cWFwZmMEznPK/xVRKHrwg0n
+xSn83iPdLnYWuuyY5SqqoydsS8l9o3BdSdXQtTpefLd6oTVWf0tigxeP2GLVWHsmEBi6Jadk6SH
xbNYEDXWEFY6v/nKsEJiy+VcgY6wAA+6YfnS1jU9KI1LN8BcWHiSwOVNki5H5vop9XQOFvVtrdr4
YBAP34zKmY8SlEHZQ78DiocbZxFY9eQb3O2sabACQqN+sXDnR96IFIQ/wgvndkQ2jPPPDhZFcIvM
cKGtpd9i3r3WC/YM2GrKWdMduMJaB2ASCMXZdM7HIPZuqEtfSLMCz/J7lAB5GypNSsRhnO0YUXuw
1PgHkI1xKXxxdB097DF4pAU6+2DbCBlgI4FX7SIXaCIiTc1Bo0ohuDnd2h5ABhYsIRHjhDZzwrDk
DeIrHk2vuA94ccKGnIODhumOzZ1ftMx1r4fBA7UQz91e18PBePyL7uIlawXCaV4SYZUq7Q411dBw
wKTUJZZz9oVwGrKpInfHAweoLFbPLuG0xUZagDLWdG+Tovy8jMGn02AZrSbYXtpCHimwtC6HbnEf
+fFtG+PAaJZl603iyePzmJ7AdiA77YnrSbs3ykueCPZEYGEj23cO2S4eTOJYh2XV4X2gCXcZTDF6
HoYQNIZsj4PvfoahMljvMt9PNRTbActvL1wkdre25Dqm6U62ajv54Ykv6bmbybZ2DegXAYMqqqKb
teIbS9l1axnyWGO7SYOL+R6u5xD6LU6WRyjrorBLcIwqxBuwVONL6/UIgSLgk9bJ1/9i77yW8zbW
bfsq+wWwCjlcHvw5MFNMNyiKopDRQCPj6fdoasmLlu21y3VuXS7fWKaYgO4vzDkmuqEdyscvTYC+
dYpqLq+6LUMGnHN5CZYJZQnFRP9m+4tcMSySyTYS0zkYq5q3okzzs+E2knX7XAjosJG19gw5nWP8
bYd/DuOPnZHqif76ML6Sr2yM/ngYq4/6eRizLkJHQM47xy3dmpqD/DyMWRdRM7JGoYik8FRQ7Z9F
p8UiyXMZ71kMNngMPh3GFqmhrsu//LWsof7mvlmBKz81eYzMVHELDlAHamdbxq+gr8YFGDx6enQh
qRQ21lLkAaVFEJ20qdFPldfitdT0uX+xs+TIqvQZW9Oyqr3szRoYKWmjM3p7NHu4fBtLzw563dSb
KUuzeIWUTzwwrmb8BnYeAFeF6hVCcOoCRakt+WozX3zvej2SW7NyGCS3AwOSCbgLsuUtjuqs2XQF
Y8FVIe1h28gscI+ovIIwYHXTfixx8rRmoZOp3c4E5Vqj80dqy4vmpNEQQt74BnAVsZTaDmlWFmwL
tTEC/cOshiVS0RtXNUul1tEvFpZMhrWcE5ZOkaWdbWDWBsuoKY1YuLqyUAALB87QALmvtZNzjVFN
r7XrDCnubR35p05tuly184qD1jhXrWBjoo35ZnYzVGq1lrGy6K+mrr3ScnxBY4w/dbYR9QvBehpd
I3wjt9OQ1lmz/J5b3V1a6HfsY0pnNXCKXmtNvlxYNrqlpt7GbJ2fBDMYD1ZMBP7oYrALOM4iwdIV
Zyuz9uKNKXwssj0ifqu801xn3NY+om2vWcy1lOUOgRQ7tsIFB4OZIAIBuDYNYC5DPKJyr/FxWoj/
Osjht+6o6FSjUl7CfA56LggTx1EKZW2xtoMLr2vua/tLG7CaQY4eSuTGW72I0xD/xYplmgyX2quf
HYC3GTy2IAXRbsbtqp1ltvv0Kl7/GDV+Rh38SbNNkeHAPYQDpzPj+n2VwfBq1POgxXumJ/XWAh30
yriLLf+cs6z85/z7OP90RiB/ff79v/L1m5B/PP/UR/08/5QTCX0xcxuOqo/t9m/nn4oiAPLPMfer
3AZdss6iHLEy3leWzZyn/+m5TcNzCAGzf0QReH+n5+Yc/uX4cyArMneH60jwAZv7X2pRUTuoPeeo
vdIL6z4X7Z3ZOqfSbm/yiQSAcbCTY6wDqDPsfTbP2brM8wj7HC9BN/XssZoa/92MJQdk1a1uwxJP
ag+bkt25KAKNm05vEHYG/F2VJ5QHpjYOQSzNsE6KO+nxFjDY9UNDTBdagz+wrDK4/MugrbQJB4CH
E3BTDKYWym5sLvWqvEf77Fx4w1KdM1NVkS7rgDii3zMLb2e3LCT8QeB0pXgNF1ndJ5WPjkbD/qTL
9tDUzjai7gb8DdfKs8t36IcPkOOQu5nOXljanbawRIualvNwgdnjxF8hwyKPRSe8orLdVBKSxNmI
rW9D8iqtVRfEeyHIDhiHnh3h0mf8RHLWiMWUr82lrTf1nL2OCzOHqZPf+m48Gh1VZqDzDckhOrTS
v541D59UtdGWc98Zx8n2X5zMPQg9Y50zgx4PPOcsaRfSkk2cPfgwYCfjKlencqz3GwQL/Eosrw27
OG4PnlTG/6i8NWNq6kBL3iazumkrHxwUlfAqNRJjazaCYbU3GFvLZa5SR6LbFLlk05uPRih1/wxZ
Ge9QihOexWvmV7dTju9bX3qDyw6Apd8ivHIDyIIum/pN3HTDXdzpcMaN4DHWRBaKtN7ho8Sp5t3b
wfJqaHG1K2cMLPTg2ZAEa2EmqLshyqEjrvcjjsqV2zVHGrKW31+zC6wS7XJkVMw92cTf+VHDJwZY
UOfiarHlWypGcTAH7ZoH/DUQ6AIk0QrHJDeeEIBeSIh4aw04/zodrfdp7N8Hb563bTex92/9aO9N
zteSV5QEC6zFuRLFpmPPbiNuT6WvH4cse66X4LQ0XPyOSHZi1M7NzFXesqTcdjF6SZFHNE1te9ll
C6/PcJ9gCG4Sz99XFuwCHMJ3iLWpYs3+sbG8Q9508d53xBH1E2vJ2S23flsd3Nj5IhM9OZJgAQo6
W+74O8dzw1geSpgQmy525eqDCDdI0H5GoH55kzWvdCrutRHZj5AH5GpYIGm0LVva1uxpxTQY+cmc
4mhqC/IvplY8xXoU76skkdeZ65BlYDXrqZoNuB/lg28u+HG7BAhXRnKCKVJ+QXWFNzvrAYLlSJrn
zsRiLxKE0exZWG4d9AUZaOMnB8+Iip3L14K5yZpDjsWODXd7TaTAEoqm2ttds880F/DHwtIy69DU
FZrBm2Z3K4BxLJrtxFsHbO87hUtQa3y49BAEgpDa44sxZSdH9kdhzRjd5d3gDX24tOUuAa4TVmW0
hFVuXA5T/yUVThUWc3Jd2v1NHo8PPgyNtsQfFsElywEWh6XIHoB6HpEa7Oe2vVfborDpKz0kSgMv
czGd87bZeLoU23JGvGDK6SKS1k1eodCYECB4AFJMVv/h3PbfbSd6SWPjCnLqJaDX6yZDweIP7dco
cmBY5MtTkTDqQkTr49svX1gIQ7uaQQt1Zn0vEvs0afgLWWxPLI9JdXmwoJ3vU9utLAA9jgkiCCal
k4r1P1f4jyucMfdfX+HwwV+Hd/na/sktzgd+vsVV8BMiVwvHLpPu/9ziOvx7h4v6wybEQOc/XYz/
L0fng3SXiToNy+fR+Q+7Etc46xzYt8yA/sbonKXvr9e4b6loIj6TQm4FHl/f55FSFfuo7gdfXOlU
m/uaNB34DH4oWXD36COQdprteepRIABR4kGa+usqsyEoV+VXaZtIDrR2z4vibAJLzqt4dK0wsxPE
V4kNzV6DKZN0vkbV7C70PFN53cTBY+LQeA/SslaTvpwAQZ6lY+99gWgEptKumevHyI8FFlz/YpEz
Q1fwF3tALcdYuT9y2zkuPtvI2PYuXNP+EjvIUbvUv8Hnn68rxEedLl9NgCvw9uKHoXTqcITLTI+k
yA3DcuFWHuYOgJUsyp+CQjy603AKcuM8esW95pQXnY/WADbhl0oi7NAMGLPRePIW+xZLzNaItWcz
nbCvxlsqFY/9Qn2uPfHEsObSSjAzJM60GyZOER6K167g/a8m1Ul53QbbDkbIqSiAFGExnqNm3vh+
1W8gwcxYVMsrJAAAMmNrL5TwgKvnciw4q2K0Nzsn77aZ23CjDtnKyY1qpZnLtRW5b2ZX3+c9/iUM
KKEVV9eT7W5nBC0pvMow8tprt/e+JE0Ub2p7fnJTRv3p6NRMN4C4FFUqtlY64y0wvV0nlxsJlmRr
JMVxMor3ZCnhHXbmFzeRBnxGWEmuwAszeOZlEXl7lFl3zaWdHFzKGNjGJ3fOaKS451JvYHLfwCLs
lmzTWd0Am9B/SlwygPqmMsNCpDv2NOClSvGWe65YZx3TcrMxtoUPaRDmydzN+xQKExOk7KuU1jvm
23dyquJ93NiXitI4DQ3COH0oN9lc2A8M2gDSzujkPCXFqWA4OO6hcAzQp8lW+jF3IFTczTxNOGpi
d975H3P9yum7zThoN2k9YlDNR4k/FvE2lpDd0mDk9SgxbA0bTkPREbjqIkNFFSL98qFKIRBRdYoA
RQWv9T7VxXpoy42uhOI8ujxHwaOwBmuVqIqnsY1mkwa4pXKvR4gOk5CAG2qkrqDuZcZ1Gwxw500M
01DFD1XgnqOhNeB5UGsVccZ7AdBl41Mbby1Vk7m86VtN1Wk64MfTTOkWUcJZqpbrKOp8Vd0pxvgB
1k+LORDfkrZwNdOxUw0uV0LwpmSqUkRdfo2X9pyUur6uVTXpUlYWlfvSUWa24ia1McVLKlAfzNBh
csXlFBUjvvLxGJjim90WlEnUr6Vd1hsvb3P8ilq+rlWZOzqquG+ceJ0s2o4qJFteTFUXy3OWHVpq
5VQ0+HsiHoOhjF5nVVCbc3MRqRK7otaeantfGQlzT6pwLc7f855XxqwEzzaVehuw1FOle2Dh5BqK
4h6a9/dA1ffxxHNnqZJfVPHGRi8aajX1xBA31VkzJ+fCoFnQ0rK5nAbouFDCsg2WlGg9qe6ij6IP
fRwopXFA7Jhjd1TdSBGkd4nkaXbs2DjIAmAYfjvkqlEJeX5ebnA4YutaLOqicmAQRNtjMWQk94oX
K1maKNRUd4SePdoOGIvWogG7hjWYsLLkmIOYZvPV3JS2dSpotzB030fqNjfM4Rip+91alikF2oV0
6goXk3zKA6cd0S5WbrZq++zUY9YDsDVYpUmhGlXYIdL2GSVQYp//qQk+agKFy//rmuD8mv/JUFN9
zG/lAE4ZG08wgTRI4VkOfSoHrH/pAdtrlkk/K4WfQ03W7xiAmQZ4/OHvTTRkxNK26qoNdy3UrcH/
ZznA7JQlLZss6JzoLVS58EmkxdsCk6mpnKt8KOKTFpdNdDdNOeYMZt/5bmSjC+LIVnhxZ03GXHGw
pTPir9GcfR7BISpns7wYRz1gtFhw+E8KGmfjQgut0jj7Dm/KmLFIzmm0tAAYxQeigm3PFn4wXCfi
9ILFBxwwII6Zx3gN020pacrjUzWNp6wqtpo/JEjVs/62G1r6t8l9KSYkg22WBJvRyHYFUOLFqnej
Gd82RsUr5oINIURtIEFH7jsCKCDuvXtRf5Na/hVFxgFHwF3qq2Vx+6TFfn2qInFqkuAgEzs9GMH4
VJC+52vJXWk6X2Cec0D6eP7t3KrvjDZ+NnWgaH6N9Ct6tgJC3hNedIjNERr4AcxygjYW8yVqKmB4
EugD8KHg1Fi4cHJpnvK2uGwQ+YdeFiNQtl9l0l11S/W94wcNF4lSSMBGm6P6WHq5typh7DvEHrBz
CwPD9MJg4TDLzeyLV1sYWb35uETaky+TG8Rk0SrpMuBYiAQar102wcyt5VdTWCPfX2Wj2KMke8YN
usuFJlaOhcQyngFrx3XyxmklV3NtOGt8oztXQzkcB8ScwBivattcjx2YZ2VorqPERlT9vUcFu3dz
N9hEMWu72AGM7hnftQm7K5azq0YlFy1pStaZ19z70tfOWlDsEckDmmr3wSAH5hTEc3Q1SRdxBRhF
j+cX1BJHP7a/eU5rMQDImLaL5dmW9dGJ7RfqyJvG1+4HaTyPNXp+4jm/e6U9b8WYB5uacWbpzfu8
nYJQ2ka7yvrxffIDHFqGolzV8TYz+7c5kSMXr7X1hvwNHwZ/nsmaKTt4uK8D/IDzBNFNwaymeNch
RynWwI/tHd+/uwdIASOTQ7kPVkMpZ1S8vqchmuA0WDPQq4INXtiC9pyfOHj2HElft87JSt0GyJso
/XKNErVOkv086FcLL8PN7Gce0kN/hDXYOpSC5tGyMmtl09NaDR+zpLV2BfAFKt2kiw3VFfMEpwHZ
lxuzvrGtdDqUngYVpxHp0fenZecNzrgRKcu1OUHSrg/DduzKN1+Pr5qBJSGH1IVFZRbiuLuZWy9e
t0V22bgIcE3jcfSd+U4CpH6uyBalSqNDt4yJGYLEj4ZhANWClW+QAYaDTaIG0hTKF6IKMc37PDcm
iW9epS+YOgkDwhm6IVYxCD1tvshNaDYBd2hPgEvYQxUKEdJ8lT3AEQu1ykDhUrk9XbDjHzW2P0fM
+/5aYD9gS1rJF9NrGDlV/rhBqYlmJGVeXyVeQUKlrLfE3pSrpVv0t8YwnwgNiLYBpp/NKEd/B6OP
UykvnJ0o6e5bwk93Q97AYzPV7zcCPbLY0QnC6Q60/WXKG8W4Eb8Fu/Jk5LvWNYe2QJzA4+/SMuo2
IihwLCzyQnGLV1PCnM7ye35DS4G3Od9izZi3ZVXeJE6KPhQ56Ur4zslHIMOWR9+lTv6sD3LXa+0d
pJcBLw4wBejwG7jaF20vAdf2ZbJKPQn1r94jbf6OB1dtg0S/rtEV8f8VoXnhT+V92WbFGd4nfJwU
foSdBptSODKMG33vZN3j7Fbb0a5POHHfJ2ITKMrLY5eP0OAMjDeuffdPhfBjasCe8K8rBFJbgLX+
yciAj/qtRiDdPcA692/NiGrZfy4+UaEwa9fZzjBx/7DM/rb4DNiWkkTG1vMn7frT5F9p4/DcAX9X
W4G/VSOARvl1ZIAAhfKFlSxfAnQS9eefaoRpjGISEUCt5qyk5sPiitL6OiRWF11B27fKkuBgzdz7
kcp87JO72Y7tMHchAVUmPnWuHBCeRZNv+qDDOONAENLHHGrWBEy3H8SrMS9gNJz0dWnaCV0/6Viy
dU8QQAg7iLLrrAExH/OG1WULdNgHc+/PkBvSgIRihHYRu7Yc6pTGajWRXbFO3O7UV3UQGl76OBgu
1361cwvYpmJaV8Oy45ygc9FLbDWZuFmY9wlXAD3hxE0LQYJHx8EcwHwmmXR5DTJ547q8OD2pqAz6
zGtT74qL3l7ElmyLag32TBAr03zH8/PaZ+j6Sg0j1/xOW++sZwfbhwZYsygBJpr2Y13hDOIgqvd2
S5gQs5d6ldcG0HDBKGYBm70yhulkLUBvTbm893607YE3U5bsDOz/bY0/xGo3kvQbkmIHAmQgccnB
eu+IycxH5poBJ+linStiNBf2zmgduSIT+HEYDe4xEFYYhut9SSzZJLL7giMaBsRNLfVTAjoTmD6R
DE55M/Ar7VWepz6lstp1Guod362PhlN+BefFesCLzvoQnAlIgctLVq57RFAqb4yJLOEX3AWgFlpL
xNUN9qS53pUG+Z2xnutPWIW5bF2uXZRZBM9yD6dcyEGbbD0ziGGs8McplzZNM7e3usfLYdp3c3Jp
V5GPImaatw2X/qi5EsHj/OzqwX23TDfGYLxYlAk65UKq6gZXVRAepURqTsdR1RZFQqGCbZzgKnjC
vqpAHJ1ZMyUJ6RF7T9UoIMDuZ1W14O9mcRT7V5GqaBDoMbt11n3SwVZWVU+n6p/F+25kwiYLpXsY
VIVUqlqpoGjKVfXkUEZJQhomVVdJVWFpInmL82bBAzgvW39km5VRkJla+5xSLghVqVWqZiOYJqxV
Fdepes4g9GFSFZ4vNYQz2pPs9KOrasCMYtCJknhDa+Gx0mGgTsFIjMO+UBWk24ljRX8YJoTu9KrK
TNz8e0vZWVN+Di3hwQXD/HzOLllxnGpVqTLwOVUkBIWmqmIzylmp6tpMVbjNRPpDp6pek/IX+fvz
4olNWSiQRPxsqTp50VwGYAm1MxuzLx7F9MR+Tqe4blSVXVNuL1NzilT9HVGIu/D0ICuye3cPCYW6
FrQ3ie6+1/ZyWVLIU6z2q0XV9rWq8gnYuh0Gcn4p/+M+3UnVD+SqM+DtcV9amoVEdQ3RR/9AI0GW
9snt2nzzz9X242r7r80vQ7ROvv4PKo7uzy64z00wMksLEQ6DbwOFj/+5CVYJEAbqnB876s/KHjQ/
6B6JYkTrrdPxflpte9C4EAKBf/ix9v57F5z+xwuOxhfdtEG6I/+omf3nCy4oPRxobM6uwFQTcLaS
jdCPxWTYx4rQ+myVueWXOYsZLU7a2a8UKsjB9TZm7jqpALQYXXY/xd0p96e7QZ/Oc8QWGNsddrkR
NyCRSccg7R7Gcr70SuvgpLC5EScDtUQBPU28vrCBJ2Tp6cJArSSrnCsX17UXTDtm5t8tP+5W4wfQ
IM3nFUEp5kbmGk2VDxQ6yyCCF2SmcXQ+z7COwraw503QzeVal/W97bLis3vNZHgc47xb9NU8dtAU
QbzIKnos0KB0JtIjNohrJx2/ulADs6gp147hvbGWSleDmz65zdQC/aPrnXzOD4g+pG09ubG98716
ga5ubRPOpNBqy71JqgC2Y3/fTkA4ZnuQhFRNX4HjfC27iQSDhHgFEkhTPUhXpZ3v8nzCOhxXW2Ma
5VoOAH/8uP4Wg2pbT0b1VAs1UFDJ3lFPCkFkLpdtPr+mtROdKByI+3NMSuXY3WiVb9yarSfXNmFx
KxjsHrvAKdiNY34ynGZg/sUiArKO7HAnDqvF9lImd57YFjN46oLsuA2Gc1j7wYIa1cSMO+s+QDAO
7a3PlnodQTdfgaCmsWxzpJkpgXaznkabSm/TEyPgAmY76lsc3csDCoVkLXRCoGj58Si7JX4EpdwV
kl1i6mFGZGBc3rbSaK4TJTj0DaSHjRIhDkqOaH4oEzXbzs7Rh15RQ7nYy6WAq1Pq0dfJTzUkno7W
HCpTv0FVa2ySZKy/wJW0h11EMuuLlgXxd9tndFwqaMfYzYqV7q9wPiLtVWiPQUE+Wkn6F9QPejp+
6uOmgQbSQgXRFR5Ea/pLqYAhkUKHeDqM9F7hRDwFFrEhjNgKNdLgOc8+4CNQSAi3i/FeAiapFKLE
VbCSxVbELAUw8RTKRHxQTcz0zrM+MCcAT4RCn+T0cw8BEXkHlwo7TBQiRfOBpRA18H1S+BQS1LA/
A1T55zD/OMwNzs+/7lMuXr+x2/xjn6I+6mefAh4RWxlBOIbpBGpu+KlP0TEM0aH4cBxM0/yMSuas
hrDh4+OyUNOriOPf+hT3X56aYWLmcdFToq38O7NM+yNQ+LORFuGUshhBD+G2QMf2i0JJ0425NTsj
voqCcuvNkPS69mOrLy+trnhERwwbsAvWSzofvWhG0FfGGHr7vW4Y77Y2wPULHPySY7uCGHSaBKjh
hVCdKhlIuSQVRLk4w47AHVQKxQNnV060QxBs7LR+M3qex87vLzvsLoMxPNNuUBHmG4corpDk+Rc3
KNYaSIEHNBA6y8X8FJdjRGSlShToDLHte/xuKQjG2DCf+8JjXp/a4BIsu11T5NpbFPrfh7F9twrH
DRcmkBtfUDbCXrgTeXIzxdXroo8P2kzcTuDGw0o4cB5yzTk6ZD+ve8g7YQ2liAWG+Oo72VviyUsU
4m4oR77FnuNs09bGNQuldVbEFwQbnMhcGXaZRFfUpua1k2XXugo7TVPkIaMP9r9wbX9HswddqB3f
ojZr8Un1KQFnfrFdEmdeF3p2PwxwaXvWoDhqOHJYx5zHMrhrywhDvoHeaJTA/OxyrQXLKSmCY9JN
8CETHTxa0hLmORxigx1ZLJiquKyKQ9GTgKmlLZS6RF++tKSc7gPhgMFkf8Mgs7OOHH0ZCNfpmzbM
8zEeEmOlVzrTrTLzdxbRRsSRWGe3MQ6N7dcMV6LoZtYqNj1NF2znGI8twXYBgfEkaFZ9ldwIV2PX
x9g49bg8mpdZr5ddG1sw4usEZEXspdAB7K1XyYaI1mHeu1WE8KdZ2NxVHpDK8q0LknJFejI4Sw3c
cFFhmaWWfoF8h6xH1hdYGOY1fykIJj8lsqOayHkfNmlkdJuhctujaTa34CASwmmGaZ1NDg9k7zmX
eov/SqJ5X8X98oa9yQrrtqcK0WwMVnkVsMwS3j7NTCCIs3/BuDSgC3ffZT2IDbJmgsO7amV1PMqQ
HqZ1PKTFto6h1Riae1cl1svg5dkqhaxA/+oV+66dilUbj3caysAD6YlvhFFXqAAjRElxxRS0H3iM
A+8a1wgpEHZh77XSeQ4y8ysMhJ2ngUg2p/ZCg0DKzxmspT1ySSTN1zmwFRvPa7x11QbuDZPvDmQx
+zQQyzy86WZSvDtrfEeN8DjFvPMmtgvaKWYOJEhuZ0XL88bymVuzXUd+ilZPMfWATT1MUDiwHjBa
I0dTEbvztVAsvhwon6/ofCOYPlRLTHcVuc+gsjghEWso2eD6zU51vwD6k25NThHkv15U31NQgKbF
0tb0T7hobhZQgQvIQBOcRqIlF7piCQrKSOiVQGJKad/qgnwug7932wAh9BWNEETEQXzwCXO+cPSC
LeBCHYChi8+HkkcdTQQ6ROV8FNr8airrd2Pg0GiIfiIvaHCP6dLBMoynqOcm7rpHEJiDoMGmi1ol
mhR3FviuBwAXI7wSsyZBQm8HubdS33mJc+Ecu7Yu4usiLmL/0DWa/RJhhIguMoeFUAkReY3o/ZEg
QXfjTOTDGBEBTxHPy95GtLEZM8adI8/dxqG2DXkKn3u73y85a1F62n3iLjgQCcHdj2kMU1pEN/6y
XE0VU5OlRBbKEuq6cGPM9wYnXFlTLcu8MJnwZt9xft5Il34PNf0WuH2NFCUvVl7t3UJ+gTIyPDSO
II5FoX4i+bAEfRI2+nIdEDDW57Ozqmv91Zg4x0nRusrG8tYYjWLVdVG7b8C58qxFV8S6m6u5y9Hz
x9mELmM08kMlzIGDq3r1xID83+zlynPTc5pnX01/5DSYYIOa2wotC3W5s4tsMp2h9ORMuvN7uoIK
mlCZo+VjTssEioZVG/yr2HAIG5qz766VHJeyA7MBpJoAq43BGiE0/IoE5qFh2l+Od+ViTdCyOf0k
Rk4AqbUPVKErSRpON52YFmptAtUG3ViVoxhDasfbNHOCdSG9c1Q316LFkNiMIwwqdidNYiLgAF7q
xNrWkbJdBV71kLvk57EMZ+RHiovuPoIff8tGlwTzqTiN9SRCSA2nqF4encYPuzq9mh3Q8GbnHuuI
9qPP6i25lEgO/Bfd8kHJYm4kUEYYYc9OsLJSa+XA3kAWt6Y1vPOCHCqvab9TIMrtuHDYWn53ykoN
1Ah5uvyPExkj8mh3PnPCFBVoKr1DAD6ZdT/ZksMC4Cm9IwPytem9g9nw37r5PAjtIbf4Vet+s5G9
6DhuSBUw4vcsCPYOWlCh8adR7X8nOutb3Rqn0kx+iOv/cV8qM+Jf15Pr9+J/Lmmh3v9YUqoP/FlS
mta/aCJZcaNc/8BMfiop7X+ZNCNMxX9axn+Ovm2TyA5W3yRzEFevm8qp82/Ru008pI9IncmAazFV
+HueH0YWv3P82OzzyICEgglekgC0X+YCXUR4VbFU5nUlpr2ep0DayL4a5s2nn8yf+C9+pcTxnbBY
VCMQpIFWYJKg8/sBBCnqueMn+XjtOIz3OkJ77Y3DrqlMiZASJsF+2uhpa6MTV8Hcn5u8/uKZsO8h
5k6rkSzyTS6N/DRIXnV6Mn1lzVj6CA9Sdnf5NLaAk0s/YQIMhHeVtMVdzSfE9VJcCx2+iOFVlBCN
2ax9sncBYJNNVAIBbsppFWQ6QmJibtfgZfZEg1VYEIetCQwZoyizgxZqXO3Zj5rvXQQ25Qbf5lNC
oARAF+cOOc6tVk7kWTrkAEDn0cc0o4Jj0x4Ml2NUxvSkxhdmgAW0Y6KhTDVh7IfuhnBfNlT9Y+DL
d0DmL3E5P0slSstJ7VkXc3rtQOF1se9t6Qr2BINI1u6S35CUX4Qb71Mf3UKRJCdkGF+rMcm3Q6nX
tKEY1Asx1WuiIMEwIQvaGoRjGJChmAZkV7ZPoz8XxHbj1mzc/KX3jC+ypR6eyj6EKXeLNWnHdGqP
Dk0LESWUfKEWTLaOcPXEdKiGauDfrPLBVb8EHXowzu2+YerR9jbZR1TTPvsbfn8Z2Y/9dx/ucqi7
zoU2QHrBu0DNxBbC8OZLcyQMZWbtMSZGus2N4pqU5WxrWbBNSvuC2CxCEw17Fyj6ejLif8S5NKzr
JnhhpAWZI78V1TKvraV9SF106TGJuyH90F079gfDyYe1tPQ3vaCQiMf5oUhTZzdZy5U5ISxvkwym
+yK/GYX5zRwLtgsQvkURHHCeGKwaxl2ZOzdl7q/xYLpnzwIj5RbV25LVcH3bZFWSjMeQP1vbjZfv
x97aeQS/mVa09Ss7gL5TTojdbZJSARE2r1UmCApbfI1izHHZ0Br6lHNIz+QJtnt7bKq17o1bwx/B
tDZyOoJXRGk9U9lHqLBs6xtSlEPqGNthERKBeF4PD7lj0apxi7OEdlI1u5+MdJ1nUN1QlRlDftkp
yaHfvLKqujVy7d0nFy1sGD8Lnsb72RyY77UdynriqsYcllTpEBRCoKAPUH2tMbGjOELfAIZL8VvH
ZzcjBHKK64s4JZmixUqNGyFM7PZcQ78bunY/jt3TEiGPmWCZD5lOJrm4yF1eWavKQYA50OW1wwLM
nblWkmyWaS632ZB+c0fK3mxkFT/1xi0Zr7uJZM6cJRa+MS2s3PqJuhb7yyGxJTHo4IVc73XK9Bcc
tfnKK8iym4uXwr6jl9wT+HKshepFWKKQ+mXCxVongd0hUbM2o2XvB9PaSiNhGbPUw87yACjpBrVR
PNgvFSVKN4lxHWlSUrrXu570klmMz1IAukln+6HrdP8CP5/d3KtxW+zbMiJZBjT+/3WM/t6hpE5R
rgvihDmHmAAYCk3yeYzbtnTK0ezO1yONQ2jvouN0Jy4OWRdqr9VjvckP2E3C6MSihWCgnfXD2ktK
858nBqvxwn/GD//+9MxFrI8JhOv8YqOD2ugMmtsv14P3WkeHQCfIbHrRRBn+9+vizz6PiVzLQyHm
2rr+Cy+MwCPHSAk9vzbSc8JMtijeg/hATf9/fJ7f334/vh9+ntyBBkRYLDG//3E26F2d3gAi5Don
6YLqoC+2H//792L/2e/s8zfzyyfpE11vTSAe18O2fcBTsxn2+jeA9rRKFyXPWHgrNwhqtub+y6W/
LsLL4SLdPrSbaHOTHcdwz7D4jKQmjNdiy7+bh//+9alksD/8UhVd2kMDxKL9g0Tzafdd9NATqlk3
rpGqXUY3wJwujMf4aCKjXfXrOTw+G7tpddlsx71DfuGJAccNSKct4JXVx5fyTyFp857+dSF513fd
u/xjFak+6rcqElI5/nBGk7/Fhf8moDDwh7PbYanzc/X0H5El5HKivXGI/zu35WcVaeGqtDhIVPbb
v+0Yf8NzgcT9dw/RB8aDShT/Ok+SgwpUvWmfHqLBrEz66GC+QorZbnWtqBBg68B7cotb4eTrjHBC
rFtkXztRVSOn7O/0EvSij6qhlQvk7UR3zlM1NeGQkd7SAxannGRbMVvt1jS64NLF27ZHE1/fmEjk
QtfutFM5x86uzcRTsBjZSnP0t6pBD24ky02ZCoaXo2AkWQ9kh8feFdhL9JJiYPNRe//L3plsN26k
WfhV+gXQJzADW86UKGoeNziSUokZCIwB4On7C7vclZltVx33urblSkkkwYh/uPe7+TqtFZKtAJ3Z
QJ+OkNK6zW2jOI4lHs4ycreiTdyD4dPjEy7dHc18qALGjpW7TmV+hwTuS+XNfU1omSz1Ukd4xjGb
jOkiDosCWVYor8XgvXGo34UNPyVC5ORgTtw41rDpJlChkQohkPPW2FaxAg50K/LlqRzkY5g1l2nS
vQnD3mey5I9dlMW2PDtBFmTmoNyrRQbflrDI1/Oc46uyxktwRzpZQhG8PtAyJ960C63oM08I53WD
GiJEByGluaos+ZJpjbavi+U0KQllcOePJbXOJrK/rQrkHdYSJPeZ3QQ3nR0Y894Y0DXgVM3XkVCg
/lBmsMfZtig1LGZR7Lz3aEYuBzPcmSg6liBIt64/onEFFeyDIV51HXv+augk8b4ZohAtDwljNBBK
K0YG5CZaQsKhvB21qKSbvyLf21qW1JmA8Ttsxe+DH5N+ogUpvZammFqkEqBWidrZW/lawCIzeZug
aAm0tMXUIpdEy11aLXypUMCMVv+UoYgZtDTG8/Ce6pSVpdm5WjyToKIZUNNMKn7utbymL7vLWAtu
Ri29CbQIJ+hcRDN53G98LdHxcZmQ/kP9WmsBT6qVPCh6wA4g7UHjE6mg3QAYnjY9+h9mfDF69frd
19KgbmIe0xnRcoj62kF3mucMbB2GAlpWJMxFbiYtNYr7+N7X4iPidCyAnXh5oHusQUqyQ50WY5U2
Puey41BRqVvPTEgAsSPsOWWwdTvvVHrWAZAe2pg4ZA7FFrQwLJdRnHkUsWDpKc1+5SomG1kxXdeT
cWxreDTwdz7R+jxnqKHkrG4yZ0AUGZdfHFLn1oqJ1FXBeVSu2MLMbxk+EooTzt0NJOtvRKIgAZIJ
8On5Q2XhGdftPTTlbF26y2vR9JhyDTfeMejMmMC2uJ0i75X821srRlGaZflXtozEklrRfhmUv7YK
g3IdE8YqjFkHJDGyVvTaW0PmzyA1n82Wub83IjQW2RuaSsiOfQ22C5cCWCr7aqiDp6w1Ls14vAjC
kotucrdeQqI7q9c1Ycjr0TVBBofGa9/Mez+rT3VbFivla0lJ7L/0C+7NPLbDwyj9kBl7WB6UyYPX
dKFzbeV1QE6qu6Tf/nMt/rav03XdX1+L2+K/NnULVOD/3oz6H/5xM7KyI28D277tcM/9rLwwYapw
HyHxJ2Ge+cs/3Yjs+Qg9ZSBjOXq6ogWJ/4QKUGZzdpNwqt2NzHL+xs0I2+DXmxFmC7YDVwBU8RGC
/FL+NXEEq90cgQo49ZPSruIRe7HBRAhhfNfeGIv2HtNDvrgOB13oFg2BhobPAm6Z2AWPFeCmeSCY
lNZFYGrGduQjrQ1QSXD57xYHf0GZLim+dFK6emeokWSHHNDaLZ1hmx60fxpJQ4IKw38MsVbTbFU7
b8Eu72O7pk6ODy1G7D6dniOmoNzA8r6t9bfJSMODKeLPChv3ZItLoxzOtUi4gLTTW7SZuZtdYtQk
NvBCpftZ+8JhU13iWHuNeuui92R3mejbfoyLXdx4yXpQiKC9yf3wUHgceu09byd33oX19OXV3hcb
1mzTaad6h2U9nOyXyqqrCy6IesX69d0ak9tE+9z5Mz/DqrxGZr8K7NFfG4lX108TIrMtFfk+J5lx
78LCKzIBBru4LSPWg4tbfnkFMceam1cXcu9A0vNbdae8PD6w8gxQ4bk4D9RCMGtqEEBqTNd+omx2
nNZTCqVv1Lg+JOU1e0wwWJWG+cHi2gOsP9pe/1Zq3F9jA/4b0L8sGgUYiPmJi0YFN1OH5kD208JG
jU4xPCWG/A6Z3sX6PBJ2mQ0OGk5Qes5STPsyxRPapFl4lM2c3Nq59WimCR50vV6wCKlciLZ+XYS/
kuUqDIeHwSviM0pHebGIsg23iZEfpFuztBB3Jl44eu8Abx+myFUu0idtliQYYghWtuaaUSUhxfPk
tHFrhO4kdd1AAQeK1aHb88SDb6D7URnkhoF5YeFdOEPFW4wOJ8qmZ+mm33y7PEVGhvncbBrC5KlD
fGN4d1ioIa+zXw2reGPqBCsy9vdswGpqiuxgCayWft1t4MLAx2fB1izBbgawPxEdXxX5yYv8K3Ng
Xh7MM1uC6rso6mA7DgE5XYza1zLHazMa2afpGS9wlnZzMt0VSX+aR+MBB+5bTxfJ7IzAUZIqm6k9
Czt6nKrsclYc8k1kPcUlSsmkjR6iiaDLjHdIWrGzsyXjnDwIz5XlvEa+evS4mNlzcpNNBpMmPxUf
nRPeqTY7x9pYEWnuhj9eK9O5I2OuWpVRett25pEsojX46ouYqmPw1KU03I947p/0FC+u3PPouNdJ
uhxsRPESOCyCmvnFHYJgn8U6tzBF+8oxxxqxMRBDzTUl5QQWfUzbl7YrL+xwvMpt68i2+IldbsD7
QfBvY6ujbN10zQMrVojo77qU+9wuQ+LECyg8HgEcfWZvixQoHoVIt0UiVu7qEGWtg1mX+jM7Vr5c
Tx1MBGsC18GJyyll1tscmHs9MJizuNB3wzjfxoL1kInUVPAWcCbd2rN3lQ3hp0tdwhjVe7Q8B2xR
k63tYTaxREnkQ/qIa5MFCqe4t8JqV/hsIS0J4qxr6gtYhcWhxGNqFqw347KHi87zNizxvSmcD79E
7UtCwRURRtE+jg1jx1j7zvTtljiL3FzPlv9hpX6+NasChqcnt7NtLKsytRytq93l6fC97ZfoPmsI
Kk5b86FKR5oQxNWfMjFoPcZxS/QOoND0WSXjdRsmh9INvi9MhrY9NupVIsU6B8QEA6lzoVIxTi6f
y9jw46vFAjDVeyyg0QleukH7EGrIQatxB8tSv9UL1gXpjDZBTctLNII78MfuA/ZTs16G9sZJi3MC
R4GY7LcJroKpAQt21V4Ui7XNY6dAEODewlO4GkKSSDyNZ8jgNATwGoSBEqzVCAfKO8GAa3iwoTuA
OLwooD1kGvuQw7Xlr1leEBJcdc38VLp4c1R2w/PAmwA7ooQhsbgoxnoKLlTlFMkaNDGF/X0FecJk
Yy8gUThieqwsSlIIFR6kChk6FSo3vtUaYuEXHtNKDbYIPQRTqYZdVIKSijN2o1J5qOBhtBqM4eO/
IRma2k1DM1yNz4ChAUhDZsdFozWMXB2r32AbGrtRaQBHq1EcoYZy1BrPkQso/mQrmZq2j9wa3e9/
qrLfqjLrXw4rbor3zz8bVuh/9UdJ9lvgPNsRz2NEqN2dP6y8mGMEDpZKKisXDdNPJZmN31Nvu0IG
6xhKfyzJfBMM8m/TT0SHSGj/RkmGE+nXkoxliWkG8JXRZbnUZb8MK2Y1OhAz1XU/QXGkfnquRzYe
+jtehPF1aTbZJ5qgiuGu/YDEguG1bUT3ga++G4nYIdl1iBPk/IjZugp9ooCcLLYEnXy0+rSZCr9d
wfu/c8Ii3gv2/3s1RlcoqqpNIv2PwU7vvXF5TvQ5ZukTzZLOeiKn45D78sLWp16pzz+bgxAV5D2/
i97Q5IQkenBj6VMzC4ZsHS3eVZ+HjwjJ+Bbk8besC64YPt8KZ7pO2CbUPrUZwqRbiynkDm0b+aUc
2JOFjh0TAy2zPs1L3dPH+ixq1nYzwO3Tp76S5sHU9wBWzW5Lsn2wHWZpb+082nv63qj1DQKJ8qEN
sZrP4WYAAz3IDmSMvm3SEiONmTmkrnET4cR/csNvZR0ByOGU4bbyx/6FSJl0LbE+rNgujdApo4IW
DkWDO81fo6DGM/2db1MOhyJ5ik1Yfqz110VAlexwS8bclpnlX6vUP2sPb1y3TzW36jCQmlDneyNf
NnoN1XD7kjFya+nrGPvmXcA7FKUolIyahXxRnFtucI+bPJ8W/OksMrFLcM2H3Pcl937G/W/pQqAf
K2cnB7Nj9O1fmlnwgJaMjdAinnBi0C1SUSxUFpIKQ1JpxLrk6Kg9KDPfJmoRaQ+nidqkD72doFYZ
qFkIe8XNqMuYVsY+aZKUNhZmG+BM90IXPY0TXvExnRTVEOjDTeR8NyXAUl0pKUomOB3dxnJ0W5wd
vIyiVFBeLZnvrtqqfrMr79XWFRg6g3dnUDxfujortROVG+BkjsW3iCcybO2S4VS9NyntML0eaq//
NhoOV3FiP7gUgTGEP+KZmxtToLA2c9RZWCq5zAyAaIauI2c8wzgg8qes501aKoN8u4Thi1Nad3QD
21CWB9KcKU07XaVGsYrP1kDZ3jEUOELrsF9LVrvEZxFcGwMORBRF4irF76za8BiRdLKq/W7aO2PE
SnFQDlptMyMomBI6pZZ2MwXyFXAqdp8oibJ525e4UB5Ht2ZH5pLR1CF4i3LnvopsXEVGbD+lTqZv
Z9qUEMBtNDt4PBFmh2rE4JJBaqzCPSHEwJeovza9aouLVDr+thwjcyuV/VqPbrZlkg46NuGRRmXm
rZKpRZ3t2mvIC5s4CKf7QAJHqZPkekqWbxqxmDZxsEnTZicYOQ450VcL+WPbCkj2hkBdyiD/PDmO
lqCsFxE8p26FBp35Ux8kO6/vj2nA9Q6CvZjqmyIddnI0EBkZ3SV4WPiaY3/hJBWxKPn0mDvePe+u
SSoRuVdZezM1w2OYh/R+QGXiSH10nvME6OmlFD4my6hZZwW6vwYE8c5T6ZObTAy5FvyZgW2y2B7D
VaVsauOkOAm17PlfLcJ1MizZvfsqDU9SFRrb1s6/z0vzKDP/STbpFfzOj7ZbyEAp/WuvDy+8gbrU
aRI8tY3CYt5DrWfX+UFJcRdY1YkPryFQGBRzn/uP5YgdeCnsfu2qINk2ZHMQpeCwuw+h8xA+X/d8
mWa+epBtyPeCzcXSnflyf5cRXD8QYM8y6BKV/SnXyfZgWnuSTWh7oxElpJ3SDQx+wDq3NJdtlPdf
RoLerA6bbNcPIa2XFOcqCg3AVMN8sCqTBj16N+bylOTLozEjbjKn+RO1bXY/IxADuaMOsqMUKmdU
eH7cfIJ5QbzQCrmuy+oxDbxLgp8/UyJJ1rElyoepag9GZSGBGMp1JPk0Cj9CvQkAJoigaHrq6Jcy
IoZsYODJ7SB7gm0VqZ1lwbPWlcyHV4WIjfaiRTOMJKGIqy3U2W7XRX0Xvlll1/tX/6mIfq+ImOn8
9ZzqCpPQV/s1/98xlcW/+6EmQujDkk0zsJg4Iej5cYED+spn2vRbvUQ58scCx/vvkMUO6nJGVD4/
7Y8ZlYtnNgh9VB0+1YaOoP0bBRHEjV8LIjRkGr0V2JrkYTt6RfjD9qaUKERmrEPn0l7GnWTKhJ/D
f/WDeFv7wzOyt8d8uWU8sUd4trWa4Hbo48eoWNg94NFdSyffNNV85Z3oUz9tlT+WNJ4b026z/dxW
dDLMEiBfHGkkDyKuiKQe6p1rtih1xowaSJhvRjXKD7NHpWOzwdgyPY7QVmdIKMEQRHF7gbyFVtRO
nku3xvUZvi4G31sZtGuVNu9zlpN1a7+3nvkC40ZzE6crNG/1ek7yGrGIZsUgAHHLenzG7fKGNTK9
rKBFbE0FzkHI7DEfijcx+8sRNvcx6oga8wJa4MZ6Q/9yDpm/ITO4D9t9vohtE9btiqvmcUjSVwwq
0Brr56414gsYeJuwc9ZlNZ5NJk9s2M/TnJ6dYVk3c6sV9cm3WvbXiGmQ23rqHEJjhA5pHR0atwZd
wlyvLeteZxL5O9nnr42FsIY/cd91C423ya3k4MTvQVGCPbeCx8iJVrXbdYfRCyvtVNpnkXHyylod
6h4+WJQOW1UDJmYZgLh02Tko5aEIF4emLr61RqIwSHFhJARGtLC8iLMYbuYgPIgM7byIxmqfVJhv
09S5KCp+H/utzo11fdR+iGVmiyG8UxIsm7rL3icvCrVe+6T69LqQ4Rmn6MbLKJtRB59UrCn69IMu
I7DemYi7FAieAULjQV1Ya3hqxKyfOyAa/a6DKdyXuHC5qec0dFd9ida1999daRyRrfe7obNYSRnz
yrLmW+V73do3iYprbGgXWbNm0HBXmWWG5KMl8Ml+dJGNNmXRboXvBafGMI9FUF/JbHoby+kp6boP
2QRqY6o52iyehw4/o9aeW1SkedYfARlBwCLbc0jZQi4BjAM2aLdR59hg2KZDydZh18YUZsvsqVVe
H20L2lbmB9/5PLiX5bUDnT33xN41C7EuE4Y9I1SvubDvs6V6I/j0sjfVVb0gx1366gJN90kAorFK
Yh0LIY/BGHxkXXwMkxhfAptDL+geVJfeU3DCefTQV9UXA7FUNTbTHAaGIaq3qisevZyqr1jUybHb
S3uor4Yx18Em021RjvspSk/O4KHd5b4K66PZOjtIIIcmTi5iRzCmne1LSQie6sSNQP+2A+JMun3/
onwcUp2z7NIWs+1AhTYv/kUbWnduKi9RNx2cnAEPaX/DMRvJ4hPtFSvY60qOn10KVSSIrfuu7p4J
X7+E930Fam+TxPNdJQoM7Hzp84J6R6XPce7v3bg+lF4aHFGp771RaV5Ef2VXOO0C3751svjoeNZt
aYwRfQfRDEN7BHTyIiZVrAMBpC60hjuVuJjMiB4l6JHuaSlfhp6sr4FR4txvLLZq6yGoruzCe8Ov
vlcGg55Q7Yp0fK3a4dC54vvSxSyuUzj/XfSSCtbjK38xKkizKeKuIkBNhp/O5eybbPsCKwSRpF5x
GcYDiQSYnPuBESsusoSK0BkLbMKzWiEPu1IRtok0rD5G2i4KheJsiHDf1OEZ0mm2DtQE81uYW1Rg
T6lJP0FGq50bZzPK7hf9EdqB+yEhmNSwgG1LsfMynicxXpMUchY5CmuPDrCd1btlkCSUyhiOTUPo
Ts9n0ZrurhridN8E5Zu07as5hLXXp9qdjJiPafem88wnAkcumg5FXoKVojNuR7R3a8t58OOB5Lnl
Iyv8+8Xt41PlNpI1Y3QngQMYlUCg1BRbZ3HfTOntfSui91PuIetJJVXtZB1yykzLir9ykGEEL9aC
xfZ8Mk205yZdz06kSOwahv48FHJtTWwevVgcqHpeOpXeN9Vymof4IWq7Q2UQFTSp4KliOcFrfoAB
9Nw3yXicnJucnO1MjGsr85jPldPedepr1ccw7pYO+eJ4MAjJ65fg2Hbe7VKYhzYOeWvMa6Npq1VC
Xw3l+D7X3Zog7XsTtIp+ymR4ZntXXcF9vy06Bt7bQTWUz2WKnz7y/EuronMpESPsksZblc3ir9Jg
5Nu5nHCdsnZpeUlAdQ/txB4yrsIbgm2ZMtB7bheDubBF2BDqNAyK41B+sFmhtgPhyA2D550yfCOt
guE0qURAlVh6pJup6LlixnC8YMNLTW/M3ysQ0C7fYgzxRBPaWWuuvHRiYVwUz+RsWJCYvBZ2e4B4
NOl8Y1XiEl63ZUxv1cvrClPGS2b6uCpBXxq7IVDubadAGhXBAh9HFQ42shGJPw3SQraFaZyU3V4Q
enljBfnOmWDQWagdmugubtrLobFiBAkVExGQMmwPXiLFXtaP1bY1kR+O+bQfnCiHNtN/jNmwNjHk
O5F9NaqZSybdkAK76yN6QLt7kERfgmhK3jlZn4TdHiKVXAt3+ooy+xILBgCqJN3yINWs2OwXubiX
hBVdkWVtr9Hb4g3LYeuUF0xxiCyah2DjtdF1JtxNkdd3GOxThpTLUcbeyZ3SA4KHVZzLYxkSwFeL
fMOsGT9AZkPvLO+RD2IVnsnzrKqHihBF2Bn5pUjVUQgDQTEZ9ma7t6bmCOWWkUVyjP3mEn/Xs6fJ
eDQYrc1Nawe7PJCfUbaQvhLfThGVwuxKMmGSbQu2wW36rzIJT0ZVrTseumkaLoew+PRsQchBWAHQ
Tu9aK9tiwV2HTjav7BKzyiTuO+207ivEOaRf4ywia6pVkM3jTRhlgsQAmP+ZeSgH62UMnHWRmdPO
haplQziitGhWrPUbTvf8pbCHNX4PaD+ttQ0BGLIoLMglzZ7CMNrbwXID0zrBu2A+zArCYyafa9MT
G/h9NERIP6O2Bu+cqWELeOGMsuAcxTYorN7b0lhqF/M+C9NjiK96hzL4csyXLzkjvJaoLTnf+5Nn
8bDEtXIx7/nM5eF8bdFMBte1CR7CYT5cBLjae3FbOCwtWcTpCcCuw3YL6CoB9t2J8pDM3qursvk+
5KTZ5EzSpymAnY3OYHKXW5rbV8vKop1MmxcxUr4Ib9jl3Visq45XHUTmIdRHD+3paqzZFsTwE9eu
zK8kI7U8NpZrw2ovpRk3G8tDHNK05ffRnDpKRBTAzLa+z/m8McfmPk4nuS+W8qh8aGpzPxD9rG9t
13mZTL5omaAFbqeQJdbsnM08PeeKsSbI2qOfLMhxo9ZbpZP9TOJafKEYD4Zd8SqYXxz0153ca7wy
Fbd5Dl/lNUiY6Uvn1lRTegrtCpGPPMZSPFhYmZbaZYeghn0MBVSU+amJBasAB+iSW34fApCbDs79
2A4ecmAcKQaxfPSoM4EuYVx9mc3mLpzAcFXSP2dmDMAsY8bhzKiEsqemCF+dyb4LOIcvXTurMER5
9c7qndelDI+kaBjrDDH/vhr5wQYs1dpM+41kOX3ICtziXSW5HWOnFPb9ZGYWbUTbGg6LkNmxAKfb
nrG1TBI8st+Vi38pjP15yU9YJDRktAQ+Y2vUBvDdf26grFSIybKq9DqTclVVV90yrcJ/8KX+8pf8
oor9xy8hbp20SJSavu7ifujS8oiwe3TY6bWYj0Z1JQyE8M5Drx5+6F7/xKtBJ/qjHvT3X+MznncE
5ABMxj//mggxA12AoHC3vqv60bB/t5//5cv4k59PBoSJxkLQbLID+Pnnd+HMkt4ri+tK8aAhGn//
238/6ToW7xBvlBvYv4iUY59gedttymsmtqV744a/g0D/8u//eXvwj8/6h/fnl7+fDHMYrRylJOLt
jXKdm7vW3yDZmr6KbPOvX8qf/CpkK55gZeICyAp/+SiKgKk5WQn5tcgOmPFQTLHkj50117Ah/40W
Wv/ZP2i79cf+08eiH/Efni5hpuXoe0WBCnqN35Ocb75anKnzuPv7L+rHz/+XF1X5QJGG4PdfZONG
xBuR7LhH9FUs/82z9iffSx8iCxY8bkdNWvn5RdkuyhEu3uq6s3cR8PNp60af//rl/Nnj/MOv+PVx
WzqXWskV1XUVvGfRq2P8Px5noOgOPjDkPEyLf34JWVO4vWNY1TUSEFKwIfj/Pw6vQAvt4XTytfEw
lP30yVdGRX3vmQRI+O/KP0MVW4n+/l+/S3/2JPMQ+0RbabqCRiT8+HSFEJmqOVjAgFP4zeugWZnu
LcyUWm4W+988yX/yu1BuIao1fSCczJ9+/l3EaLKUzNzqOtE9NdjldTJv/WZVU2Pd/fay/qNYF7yp
fz3y3LVfXfVnujz+1R8DTwLNuAiJyUWZ59tCzxT/d+BJSgCQKy4ABOhg//hW/jHw9MECuwxJf48z
Y5fy48yTTXJI3o9vYSbkSPxbM09fP9X/PO9QrIdMTkPyhnyubL5WvxwNeVmYIbQJ/wzy7CLum7G6
6pU1w44tRymJHYPlsA8U8ycGNPH0RA1HS1GHsEzRBiWvk93dl0kzb5KO7kn1wx6WzAaPEq4tUVkA
YIjRqsPswwa2jlrDTbez0RFuvrhnZr548wvjtcadXZX5sxpqM7/tfZnc53l6CNVERBDu9gI5RyxS
45xHEEAR0OPyLY34dZZ9coMROfVukmL2b+CDYkRzwOLZK49MgXrjRqWoHjzf4OBDrKK2HXul/rox
wPY+Daix2HXn6jm3GJrib6wPaZJlbDMYzKjMuVCDeweDdt5E2KXFUjwMTkr/mMhPgA2E4iYDmCP2
XG2fsTazP5IqA5JqOGdvsJ69aXpiKuqubVSBxmhsjJLlR6zZ/I6U5iag9KdWw+VvOskzKPgAD10O
Ld29zwMs64Sqb2Yj/WaF/kM5OF/CAYXQlbwpbtDf+jb5jDE+gAO7J4MMSpm/zXaMWEqlB0Ea5qbR
NsSyCB6awrR2dZVTb9q9sZoy65CQFVyNY7spVXq0E5vlZJn4q6r1FyJs8mrLyLBAPTKzhrduI71/
WWwOksqxDnWOCY/WVa3DebKO82hioBzEN1HDmBg6LuXIjeDed/uyCt/jpL70Qp/wSGCHgJjhRi0h
Km4sCGHS7abI+MbGaleI6Ugg8TluWZeNUbuR7QJ3t9Kwokh+72vaEi9lrjAY5adKQsLn5+qFR7pf
WeFI3J7Wf/J43TosPFkL1ufezQzEg9FNEWIxjQmsiRPzLpK0dyBXkpWYWneduSNzUpRXiVu/DJnF
URz3Fz2fYN8NO7dJ0v3kEnfhiabeLhU0h3G+nhr32ez6M2maD1lfY0oQ3VMZJ3eJk0AFEcPejLUF
wmPWMCbt3exHD0IBimgGviImYCliTdngpymdTRvdDAjf5yIyAG4Zn21jJBvhyHw/uyiVFjMEsjAA
14rdDgAXoa2mMy8XNWPDbK6BIAdQuuVQ2euSNDw25OpEdMS3okhJQA1IoO7SKy+TcLmEfznXg7kX
uDJIm27INATD4pgZSnGpdnPYX4et8zIi7ljzVUcjMZceU0P7ezkzcc1lfTcsct0PPqTJJln5/sQA
u6oBz+fjo6WW6mA4PJ2R1vV1RQquw1poi/wXV7n3Fv7O41jnOHJb64hW2GY6FxAsaBBu4GCgFQCD
d6rJrtPY23hGflcW4zlOeLZV4hMfBmEnLcMb+q9m5xWIShULZ/rFaV41lffAontci1Z8jywHGEHx
KWz32CibRi2GmhEZ1pfTGU+dhvGWZflUqt7aWuFwD1bB3Kde+VrPziXt/EwXC4kR443PUP7WzgLp
g/wUMyuU5sMGWlJbLtMQw5erwW2uPE02WUCcAAH7aG3rtaEKO4SagiLBoSyaixL0CRkSrYdIU1NT
IPN8EvDTHYVPdG/VM46VokAOUM/sXOndSgAsEjJvX+p0voQxkTlEatMO2GvprTDppOI8EmuxxfH6
NS6oTioXeaHmvYya/JJrBgyKBUwCQwNPU7BZUY5iG8s32WRGfxCMlc6pJsqMXTNhB7eSjQ1uRmnu
zBwQZmKCosk1kwayA2QbKDWpm82bOUvkVQnCZgZlU2qmTanpNpbm3EwA0teyzT49zcDB/7FsXbA4
sWNrPg6knBpkTk7yySahyN4FlEIrzsNlX4HYaQMGriB3CFnc15rBw8DOY3SXhsQoKQgQfRnuJk3t
Qeka3XrYd3a+RvqA9sn8lLgWTftBLE3smh8I4nRhASXD8C0nbWyXyN6+sCQqJleSi5HDUDokVbU8
Lqrks1EzYAxNGzJQeK5ii0wGFxSRXUY4k80AeKc7XsbgiiKwRUa6lHog0O4iFoItaKM48e8Dw/dO
S8dqIdH8I0SgN3JIHioLU3a+mPB1bMR4A2SWdWb3n14DWbDUTKUpwNw/m6D/SNmaVmaR3PQgmGjg
xCbXVCYJngkI74mctg0qgJtR85vsrBHwaBVDDeBOIZCngOSeoosYNvkArTxNgipAQtV2MG8BtGHJ
XeBFCaGezCF/r3PjpgAoxRAGDQKFMVMCEwKLI78KGKdxKZxdr4lUbQqbakitaqMK8So1t2oEYBWF
LC9tU4wb1bDBrMFcVQHE32zK4qcmgcytoldPM7Esvro+kKy27F9d20AH05/lb05x2OSRa4VbUxO2
QlBbmFPQvGj6lgWGaxFSbIwivWLczWKvzi+LlkrE4U51NcULJyCk945tRXQKNOcL1PoFaNpw0+QG
AajVczm356nCSOdpSliLDIsPlHm9eYnP6ZsBEERNaIg9ZPRVYxyAWn0BRth1miHS+XLbSf6rAi/C
AvC0xJdlhsYH8giU7/dwyD6SjsN3hAyZtf5xSImLcTW6pINhsnRsSTTUJNV4kwz9/6SBJ2lkoY2G
gQIrBca669+nWcz/mQN8hJmStoW5cjRGBb9iuqdye6MCO6ZTvWs0csWGvbJoCMsAjcWDyhKF6tm0
+eEa16IiJk0a4GKX/Scg+efYB+0iYbwIvyT0pXoybS68sIr3jPgANgb2Gdf9I9IMNMkaGWPI5kam
4Qm7EYQJqDKDAa/Xz1wTYkK5HzR6ZtTDUxP1FBJT7GwaUJNqVE2loTVkRd2XY8NL00CbhLoTZ1kK
rRE9SOW0Rx/6jYKCk2gcTqyC65lchxq2FpoQK9i3c7Uxp1MASSfRSB1wiOUaRMg+y0bSENl91Pby
YcPh8VT8EcDlwUQIYzcSCR9W805g30iknspcLuKxveTrw7JjwvrUB08kqq+Is8G61m6Dgx0XB4s8
27HPgUbZ8rby2pLYvCr1SKlxXNN4Tsa6FusJNGR7AQ9BlZgf1BiMLLNHY76d+XQq4abGxolw1seL
r9JNEOYXtRL8FbnBt81o9wubrlVbAzHzM1DZuaF2qVNvnDIfNtFYv5DGu0DVBzo1zrG5JSzi0W6r
e+VgXOxs53uTtc9OioaNGAJeKbve0A2Pie+8y2q6mfQ2ONF74URviKm7OuhWbI1dvT82UMdznbBT
zvV2udN75tHSnx21+RDOwC+TU9OaDhoCZzP1/nlkWR2ytGYig7CJNbYZAikLnZOp99uylh/cLTO8
NKLGWYF3ehfeD+KLTPYKqR178nkMDg6Lc4LBEoo8WMi0Euxa2K5DGvrWqpK0d/burt7A4w08OU1x
Z0GUqvSOHmmCOnDuEtrNfovd5hqYcXcYRr7Resff/bbt13v/DgEACioIeUgCpNYGhGb+ljcs8ZLr
HN5V5s7/w96Z9MZttVn4rzR6z4C8nBe9KdZcKlVpsC1pQ8iyxHm6nPnr+6Hy2ZFlx0a6twGCIEEi
UzXw8h3Oec6iH/SdKWti+5zuUgFyydC1OWUmGKBZhBBoJKGhSigC9dJ0x3WKWsEQ6LGyhTJVpAGj
ZECA+SlBttEgcWjs5gNLYRAKiB8cuRmQQkCM8Kh7L0ckEhFyUXfWTOiIJ6ZZRREjp+AX/BDO+m6b
WnAVzpoLToUHY1ZhZBPL1wJhxjArNOpXrUY2HftZvUEU9V3ZqTAdkqu+zx+TWefR1Q3fBPc+RQAS
zUKQWRHyb0NPRYkMm9HY3zf0N4/5fy2j5+AnPf38g996eusP1dE4dDDVod3W6Km/9vREm9NzzGM2
MlosfHh/9fQAkPjfKYNsAgBhVzBB+6pjEjM1GWgySX2EAGjwNv+Bjgmh0ruefpZJCQZ9OkY7JgXq
/N/fzDCjOA4htjf6kVsYlaI5J4s2XmuZycwZ6kvcM91kS2CuailYgsOOv2lRJAdIJC/IlrQfk3CG
A1YesoGH2E417dxrNcCSGJcKaJsud0/k1Ez7QG/TaMe6XNzqgiiSnVarkIFdV+EW83WfcCuLUFeR
JLF2E9luahymYEpr/GqB1R+lXkrzqszSTWfl6bPPOndZMHEARW8g7N6osaOt3cqJumusqM3OSEWN
7HZCYLjyVQLYQfqCMLarUD2IOaBdVhUU+ByN1Coc3MqTlWxWrTpGB7MZjQvfnyDgxq7vPrZ1Hrqo
LX0Em7bB8p8E7PYcCnP2Vz+wtnyKLapaxpGZV1rmc9lgl3ML/MFdVhlfUPQgoWBJWwVYMCbVXDeJ
0j70VmAtOqFGkdcnreY5bh8jGWicT5pC2+dC7H8aIjbq4OXwJyl+eKEkAr27JhFuV+2wm8qy2hgM
U6H8T9znST54plMyHZb0YC76eT5c0Eb0BXVf+3QW2cFpXaJ9fGkfR9OcdolBGmEkWIQZRJrYUUXh
E4hkoZM4A+Mb04yNoax03GfHCJWN001bhkAnPY6szegjZ1bqGcjhS3SUxnBnhIa/xAXYYSwnQoVx
0aKlXm1C2V8m+tB4ahgCjwKnvJRMPlexUoqTGiTJDeg+/Tq3rPw5Vg25z6oo/xR3BmOAqPqS4/I7
/HtqvZ5aKlO5vz+1Nulznv8ou5x/6OuJJbQ/HBMyhkGyB8Gj8zzx64lF8AinlcFfTNUFR8dfJxaW
YlUlOuCrPfjNieVCXxP8WfxtXvZZ4h+dWNb7E8tkJs6wmj8TfDCOmXlK+ebEyokiEkPruCdBuBKP
bRz/8NDnMAldyUOxMsOs9h/cOW8CnjrRE9mcQjERR2HF7oXM3YQiN/lMqM9+RuICNyBBxzAwRZU6
Og8P4cAuH/Rq1XbuFcO1FwiCETQGwqFbsVFsASwrYsJSbdSg3Dg5VXGpbJUo/WzKQfdmD3wQ91cJ
CraF1cglU6qtrQpkgai8ddl7kVtAH4hHtGwYJOjbIgGnHW0V4jB13I4aQ/5c0T7HmcYyvDN30rHv
UM7vUBg8UcUdiQJJMTLw2u5djA0wAEjANotnOTqs3VEfxG4zUsMV1WnC1wfkicOn07ZVU7D8Z5jW
NyqZDroiyU6x8x27IF4tzPplXUyfmHMenYns0D6uBZBNQ64Eg8zQEJtYb4O1THQaDhnYq7jXHp0E
mlQNL6wycPBoRXufDf4D+HlmFcVpGDHlKnBB1lktSqxr+Q7bCc6UCPuKBi9rqfYG1M3MKTblDHJn
YkfMm+sCxBqvMjNBiE6gJ4ENX8asc2A25gbVsY8vGMaUHoyPhMmQdKVpL41Q9lrX7sCYX8Q422h2
aCc7UhmZDbc9XAItBoTJTHGwmospSZ8zJe/v+DwPjfkwZdbRiOpZ3nlOq3hPHvZNT+I0QvQkrpdg
pSqOX5G3FN9wLIJFmaZFSJIjXqLqcghMe5fWjkGd2oWbCLDDgFOkco886MK9nRTIgKnYdrwvJWlc
CAk27FzcGz/xSQlLxzkxrCoYYnZzjBgPOiNdpnO4mDYWgB0AB4sLO01bMLSWsyVhXr379zh8PQ4F
a7O/Pw6Pz/mX4in62WJm/sFvR6L4w0GKDpPcQAX5Siv/diQaM/4clhA3Kx4vl53NfxYzhgqQckYp
oG4A/sWp+VcRB0poXrO/FoT/SIhuWvwpb5YygAZUk3IJxrnDbobN7bvVnU0ioZOJQDlpCqVQE8G8
M6ZntFtA9k32Ka2uIhuP13IMqJ345slrl4XIlbA70DELu8jt6wBOMpQeMsuWba1JUpeR1D2ZitOw
tvCzWSVsbFBZE4gmnGkT1D3/ZLjGhoNaUm0QnDZAQlh1peJChRN3iErUp6AiaK0SQ7ku5vC1vkXR
3s2BbE3B/6vbhLS1iZAP5Wtw2xzhNoWdue9zex/HWHBRviG2y9CokPzWCtYng1AX3RwKl87xcCk5
cVB2jmNAcFxGNQGgrrt05lC5TMbByp2D5uQIQGecw+dkMjTkHULSw1KyQj074dchrG7S+yW+ovoc
M1eZjbHpfTeH22nap8hg/1IrySWeo3DJsXQVIy5e6CTjjWrMbKCPsNGV6HEZMThI5Y2GsbrTEaxn
zxF7DT3+Pn+N3ZsD+AA1q6varEjlgzsBRWeO6utKdMx8LMqJcGScu0R8sCfQvYZWuTIwgSVdMVxN
cwBgXhvJ1UAmYDGHA7pzTKD/mhiYTFO0VpQlcZVEcqc0s3O2oJxTBqfXwMFhMJwlbO4Z5xeGaCfZ
yfk3bNnKTfd6JPHFzne57LpNVhMQ6FuKc4yMnlO6cX0AhPxwftSq1r/S2vA+DU3GCLn1GMjMXPQ1
HGbNcO8TrQkww5cvqsspDkfoIvVRajsxYkO43uyUs5dwMpeVHjSnMWOpnUGY8wzpJIyZEoyFnbWT
XWXvhYkpvENKFsZk6gHv2Rghf3MlYOkBd//CGHtM01Fb9vwCjWgRh8quF8axQ+O+x2EBp0JP9bNp
1kAJcXvNyJ4BX5mok2BZxojeZOVCt+eLduqK3lrLyqwOllEAbiwKcO69wDA6tRs9hIrY2ctGHTDF
E1+5J75cX6RdoK1Nw3fYM2ZrJXO/kNFEhZFdFW37wVf0Y11iRWI0WV6ymBt3wpIzqH7aKiaki6wx
01sVTASR38+NMhyi1D5Ehn0xhoW7smPSz4dxZTHz4DWfnDG/MLPsgeThA5i/iyxkbhi1pn/MHSjm
GUlP6zYMbsJxCHaMU3cy7rZJxYfkhPa+nNmqSmz7C1Doj0HLFLixotPQFcydcmgMStNltB/MSK10
B0mQWYV8zKTDMDPRSCN8sUh7aZtsLSe8FYCz1K4GrCdUvBE99tx4Z3fGgQ0sCysKj7AxQ0Yp6Qcn
VU/CaD9YnepQj7iFRQiDa5FTPL2UlXYNzHZnoxPVs2yF90SnOxjYqiRe3HWPoaVvLNmt6iAgi9oE
qZXk104hvriY/FhVzrFm47WhMKMCIXAcKyAYieGVfMZZ3DLWof0KYLd2DIYXlHBP0zjegmsCcZTE
O9mGZ3wTp8yhJUT87g/F1s6wkARcPjXVK5YVzGhGj4H8LvdRMSIvnlOqpzbZIuP2CBrZokFcw0+b
g6yiJ8uZd8/lVuGBnoT2aiwLtPqqQ/4L3tAGGWLcBmcBFivqgu2gOsusUC4wGq/HNIJQjfAiGVAy
Zi/CwJwhtSW+b89v0meZPhd+e828jW+kyuaHMXHPPhMGfk2ACnt/hmHSM3xGUYZzUzfW2iBpxwyG
a2Nwb9N4Erj8mYExadxktFT0tHwDfYbrtroG6/QyVtElJ9yaetir2T5ZDrlqQR3udG3cDpO8U7WG
SbJzA/zrzgnr6wAdd5vRl5XPlaqGHrFIC1uP1pFV4pZjhREYK3b/XqDDX5Hhsej0a+ETfYH/SEgw
XYTPoTfeKm63dWplrYbpTcyIqjFh6vKb2r4LlAGhrq90h1pt19yKl7XrrJle73Ufo8BQrdhiDx5k
LiKy/XxhGOIJTcAdfxSZGFipwOOWVONhhR6798a8f6zz2ssd5cCyfzcRxVeMrHY75DWhwkMiLHFv
sm1jbWzZG9EwbWvzh4bs3rG0d4xqViXdrQfka5s78HiHrACM4260uAOtqn4qZHxdKBqI94ERd8t7
566CvNnajcm3096geL3Ki/RQAsPtlPYmjeytM/gnf+43DHTTvnYMC1A6eRuts5SFkD/T0ntAQc5V
DPRG14b70kqXo1RbT7g4iqR1Vcv6lNfmNcWiunC0+qaFZNuVZBRICIG5mV6kZoC8vFJRlwdHOR9U
U3E3Js1BSJNtEXChpmfJ1DMjmIueHIZ7/kGW414TxUERjEcZmPtAVyLowDT5HkivPWrHxdT3HvNw
HjzxF6IQPsRNBmadaQcOp+aemfhCYHLDm8FmUPtiZVBom+oukeEOscqJ8xY1uUw2Wl8fIIBxX7IB
wbGr3YdmXa5dPbnNoMgtqoEkKF07x4kTkwuLWLQgVYqo5q2fWF4vFGwfOGO7Gl8qxmhPG8XcBdEH
5uchsHB1DfshH7+USrlSGFE30mTZimIr8+GixZ29attgJUMl99jOorNuPWzjwZLIuG2nOF+6jiD5
SN0Enb2O1GGVFwy3sjoeUFRM6yHLD7hvD7IxbwlW4VnT0OfUaMMjbNJspPcgcPiuA7VHGiC1Ypcq
zXFS+vtalk+tI1dBTI6Snw7HzmA5kak8/t6UtOc/BTr/lbfZuYjypv6f/36n6HutELERA+/Sbc0F
q/V9w4zzWso2ypUTGu0IylCRXCvQ8n99kXdayP9cxJqFgwgv4SB8fxEWfZCqDU05Dc5nSVJGez8U
5NAuM5TSv77SzwpesBffrjT/Jm/6/8LHdzn5XEk4l6EBX9HGAT7tCutj3D5EcAt/fbmfvnvcTaaB
AhMCxrsXJgj+cAjyDM6d8tC0hwqwV/r060v87BVRLVMscxkQo+8ugb0FeAJIn3NnEMO9acdxlTKm
z4JNBINFNJe/vtxPXhFyQpoWna+EACDy/Rs4h8WIUW2ic5QHOD8q/AabMvnNa/p+SvPalnx3kfm/
v/mUal9pTMvnIsjJF428iN1w+f97GfPLfHOFrpmaTpKafZbl0ZqzUotbn6CdX19klrT9JXn78WW8
+2jKZEaFZ3V0HhRGIKbnRqCF4FjY9+A6rPok2vo3V/zZp8MCneE/3FeTtcD3LyuJnCzKYy0629VV
pQbkjO5s/+XXr+pn10BpaBkWwQKM+N69dT6LdYt40/hMWusqY9OUF16ffvj1RX721uHQhkyDU9qG
UPP9CylQ4thRNMR8Pvc5Rlc6xXi2TUCMag8GC8zev/r1Fefv1PsP6+0V331YoUsxW2pjfFYHhcnP
Jzg7vzkMtO/fOYiErFxspp/MM405AOLd4VMXRpiEg5ad4wu5a3Y8PI+M01fmVXhtevkqWjuesv71
q/r+kn9+Bd++qneXJGYsG5qyi8+dBdMeraRwORSK7a+v8vP3jlQNlSenaZnvPi1r0iy7ydT47Fcu
1LODA/n011eY3/33nw44Zr5ts27efv/FLmsREcWmxGeb1nd0BNXmQ2SwCY/j37yWn71jb6/07oBD
2MGwz7bis2Y+h86V6d9U02+Ot59fguHzbCrBvPLuqxZBcXEMOILnPD+ZmJcG6FyitX7zqPvZLcSX
7dtV3n30mIvCZgy4SpQ8pShOdMgg+IuT1kuaswI80fzNZ/TDyxJsFVkCqhqPIhT070oF4fo2E+Ei
PTfdppKsqFbVdP3rr8EPX7R3l3gna8+7gDc0rNIzGkBGwAEaMfM3b9vPLzEHC4LDd3+ws8TDkCkp
nda5Tp+UaYcH+jcX+OGrzGvAL2NynzB4E+/57xyddq9hfz5T52Ut6YDxbka45O7z63v1r1Ze44v1
91PZLQZcEArNj3uq+ee+DWX1P2Y1vA6LigclBe6bPZUB+p3d+LzEnxPquW++DmWBqSFgNxn9fZ2+
ft2sv85rCZSy/9LY/4PN+vd30vygYKvuzjeRO5da72MnmnbsgXOa/blV9wEog/G6qDdv3pSf1PXc
le+PVMbL3K3gTkxhEcnw7qDTABXCfK7Ls94TyEMg4uu0K9RFrp953lZsZQprSK6mIrIolsPQvmNv
I5IrRzVHL+TBIkiSLb16KBgbDReRn+JtjFYTJ/WinXQw6enZN5VlWii7sXa3SlXcNCr9zxhSdFf2
9RDVW39kaxxmwzqPGm1pGtVeKfuT4iSfiWF7VHx/2ZblLk7jO9a4SMOiEIxHvXIElU3IHaQN8gWd
3KZMo36ZskfaRJXRegphIIvG7LdVh16pteMPtrOt9Nrj5d0FlrpTXXJSdK3cV0P+nNYQtXxc8IBV
n/1SZTiblcx71cGBNS3XxLVf+Mxjl04+0x17dtylrX4e6nyvG0pGd5bfdlqw94X4IAcGp/AIPiUZ
0Xrh2D9BedqPhszXVVyS/Dn0S7eydXKRfdPzC3kjoxyoqVE0q2DUjzDCcJ7V+lVKVh+bx/ZOifX1
1Nt4qYTNQFQ0L7HNrMWJRIEioTjnhXGwe2msSobAcDwqhkvqwJapYdc2xC2VRSlAhHaMq4xy+qSB
ttD5OMm7VK7NXoGTJNJbsjNLpEvJPV57cAB9uXMJob5Mm14j4y/Z1+gKFqrG3B2C/0XQPOlxsXZb
dIZZLzxjqFD7pfknf6IP8SsH8XKAj9pp5bLpIKPZ5lMZwb7rR5zntvHk1Fm4dOLoxcmQYgUGJJOq
cW8BFr8YUe+pVfQcVQjOtTrehkKGaPUcryDHrxP1Zy2OVQjzWAzIjtqlUYK6vGvWcJ2oqXQiYYy6
6VcGDAfPzNszlM4PXdDWnpJSdemhnH0QN8HQwK6CnuCBJVulBhx+Hi+rad6ZuU5M8mIHXwTOxuB2
nxIV9Vc0Wi9x7D6YWkJwSU+IjT4k/gJxRXLMAZx4QRyVHufKh2CsbuCZlfsw0U8BULFlWIQ9X1aY
J1jdmcpU7QqqBIJHe7pPLJ9AI7aqXZw/Gxrz5E6qH5IgRfPGqmJQiDbuggYttPLSKM694owAOpPQ
s3UNh8vgQ45d2ZNViFWjj8mufI3C6Q1Z+dCqsD9MrlbdmgHpC2x7+ZYTYvAhwbS1MydKbEvvb6tK
sBksnzNo1VFSwr8qyi9aU2FxQPAM7xRldtKTNiCj+JNhNMvU8hn3WR9zdzVsxhDMTFagfVSUa9nG
7rz/TdHY+BmpBV3vHBQbT750SzyHKZNl5MGM98rNUOhH1hQZG3ISUO3aw+CvkspdXtaFfQd47Zmh
SbWgUgQ/OGlMtkqvC8cDIoNHBbs986J9Zrb3QQsyjzPnWubaKi6160LTd72mXI+jvbSU4KNIQN07
Ji4hlVlzcKafPo9ZeJzqZs1U1vPd8QvCvxR9Y7xM6iZZMeL0kgrASC0bRqfmmkTTS3umeFQJ6Raw
qnHc9DiOkHzGjoLuXzmNjfyYRSyIfFEzDQvXoho+KfWz2fJN7Cx7rRuxDWAs7yG2uH6PtCBuR0VZ
qd1of7SDbthUlRReHAxEqztlUyJ8AQ9XGMrNMFUru8sDEjpizi04N0Y5LkD765uGktVzUrbljp59
TKp6LZv+ru/Tj3Wl3IP+06/U1pzOPPCqtUyrx0pou1DqXwbfOVXTeOmC4VzmGYpoE/34Mqo6OpE4
ZZKID/zWyJzxGGThTRQEn2MhlVlylB4kokMkAA0JSDnTWqMhBEHwKfbhbRQV8dLVlX3b1XetVkxI
1vVs7eOmBn5TwZaIePZ4bsIZ0CopC6K2xJ/fOMotDAeU/6PbrwJZIMkkR+IT89x2aTR2tuVudpZV
2iwNq+u2ndb0G1TO7K2yYtz0OcPkDvwR8Q24P5Bzm9ueKPotCoMz2fDXtRHOQscN0iBkA4r/REpB
DI5Zu0UAcSe14SYwpbVzjfaucNlSGsHk/2Z8Mhfd3/UxQiXoC0GfhQLFNmfpzNu5g5W2pXBE1Z4L
p0fafAJnafFbm2g4YuPTrx/x31cRlCmz/gbvujYTxpDnzZXumxlHXRdDI/q6Pzs+WL2P1cio+uP/
7xLzr/DmEn1apWnfpv255MYcoYaG3YNR3vwfLuIi/4HYpmoC+Np3F6nDJBnivO/PurytiotBuVS6
3a8v8ePHwlv15hLvOrIGN0CgGUN/ZgWSVWtCU2GonHL7MR5/c6UfxnXzh/LmSvNv8uYdS1lSZ1bD
i6nYTWo5tiexbzNEuKsuI6x1+sfNhubQlTNGUZF94g79/nINYbOTBG6FLuVOg39pW7dBeBizu9f3
799eY57Y/n2vcflYPv7YZ8w/863PIFgUggRgB4ZYKOLe9hniD2ZoAtwA32xGqRwFX125zh8OGDEd
eJYLHtCy+amvCl7nD81EDWfr+n9Ewf9ED6fPaOg35xE64Zl1yGwa+YEr6Ife3VuyqjM0oGI6lSUQ
ZA30x0K6JD6W5vhBi6uNHzpPBo63pV+2n9XWf4gsKkt1MA616aez++WD21VLOoKjOVHamyx6hY+O
QQ1wjRD1PfrOGRgmlHatFauKJWIyuMdeNy+KrNg4gbvFDAnoB2mWY8E3lAF1eWP1N5ZZtNiCtGfF
yg+0SMxoOyM42hZuVBJofMJFzdUo5pxqhc2kHu1Uk9AajtePdqmfAfKcTHyTi1bmqPf0LiWFeNz4
Q6ID8XGv0ji4CcC25HR7y9FEjxGkhbocG+O5L4L4OE1t+Zg3XAeb3mZSJBmmbeApFlgeJSHeYtBA
saXofxs3UglMCsp9ixh1Jcoehjss7GUSVl6UmuiK089BGy0bxsGQ5wipqJCYeYURb4aJJCdbDddE
QG5lnq+GoHGBJ4dLaaTaTozFQVcxWGq4q3wYjJ6Dg9LzE0h/CdFTbm/dVFpkrUdHNh5ER14FzsqT
k1q7vG9V4LGutTBrM92Bzbu0Eh2FR954deM/1IFzGyvsIiNF3xqjj+tXpRNgRYdME6QpqEUGhXgL
McZsi9CvF1WSqbcwCtmwDuYOttKwNILyWtPSLQoR2wuxg+L8qiuviGqfyQm5X5qaxIsydtcRmJ7V
FEYjYSmpgVIleZIa4KSu0jrUHtOc2KU57ESTVWjiR1JULVwqjaauux648QKLZ4aUxM93VquY28BR
e6+nTdyVVHXDjKLuDAMztrDjTVMQ6rIlXrUAIt47SPus8Avms3Ll+Im7n8owIthA7mQV3IJRlOAX
xNZQSIOBy7Cqw9ZcdTQwTpcXOM3kEXj2SwEilhK0P6hDd1fWYNusCWO3qGK2IC6WKr+862pHXdn1
dNHmw0WGrY3IrfhqapzOK4pg0/TmMZ9TNnzlI12V6hn9DNNGXWQFxskG9tyiQjejOF+g1SkWblJv
YltcpBbaKdVtMHf4p05NPrjEmlL5+btAVOYGPmLmxVoVrWRc1OsozB9dNTmGgQIYPQhXmASOeepu
m1nrTebvl8iPPpD0juheCQigEuoXPSo/dgSuKkE6LiRqtsdOmitFU+4BtyPHaJyjjpiU7aiVXNFB
PDBSPtSa/cWe6gNIrMtJMw6gwdFxF+ZpwBp1zGW2SVWs3aVtHXTAzFKiLcX7ed0FFDtJND4I+zZR
VsboHMooWrsd6Z447EkGLpXbqMPO1STpFWIyxROFBG8MT9hqfQ/E3Dk0EStZerPUe3+ZRfFKUawt
PriCTCsQlKpkKyqTETa0ewSXjcQkOUU4FFp8YZKa6NDZ6COTbHpwLRrHhiQypJEg7mJSS+M5MKy6
aPtp55bRZ+REKkly2Oiz3l2UUXzTpOZnV6INaIcakmFlfwyUJve0zOcmLgjr0cNmlVWchQt3zpSp
czFmfxaS/z5xNeZUf//E3WXls4we0x+fuvPPfX3qaozwLAJbiSl5VZpT+X6VXGrWHxpPZJvyW4du
YfBTX5+6jARxsmC4cfnB19SDb09dHtWsHhxMGMzl0MH8IxYGbI13T10bJospBI9bgRTdnR06b4tA
OwRnOCjVeBx0+AxrLVEd+1jahAO+qNPEIwnOg9rQT+t46Seg8EnCQwVOJz2DZSTXvsDh5pCCspVa
B78QyMwTGrXaK1z/kdjum8RPsvOY8CCvJkusiY9DrGmo9bGwrJewBLadZILnfV5Ha4zLOqdWJFc8
dm1cJ5p5MeEyg3mVNgzYcHiP3mDBu4jjQF6WVCz0b+4F1IHkQLJIvqzLflwTFF4uGp4Ri5RIbI8E
bjgK2D0ujW7cJ2Z04RSNf8giQH+JwoEeILJ3mGZZqIkS0qgG1w6XekPjWzFVATZog8cc6EErpyWh
2VDuU/ql0hryvR22txzpKuMF3I24KEsvcEflUsbWU5/TWlfkMGwImXuZ4vgBGSWljdFpAN18278o
IfF9wCHsY+kPj0Gto6wO4+cmmMQ9gyboCUh81p2Vov1BnBgtUFEDymU/eCDeR1tZvarsjXJQL0wk
FZsIK88ikK11IW37ykmD+IbZ464Px1ulNPNFYeTGRnWKK9vC6k2ieI6fxwCIVzA3nRKOOUPt0eqP
iXKhhS3pTSMpmPddCb3ZV/Xk0Pij1myCDJkRikwpLQloB2c0XqfoOGpMyRZKoPlgFmL+JEqE2RNV
osiD1fFqlSpn15QiZgOVAN+3l7OrKno1WBWTg53U5U3wTy7OUpydifvSaW5yIYBsaEE23RgdnfHy
337hVTE+LxJ+cXrl408cf/PPfDu5TJoCVhIY6qjx2ae9ObnQfbuIwnVwSjYrNg6NryeXzXFHc2Fb
tAXEr8yw86/9wkwuZ8LPwkm8Gv7+oX9m3uH9Nb8wacBRpM+/A5G0tCD6u/YVPSsExc5uLrPEomot
UkinRcb09moU3YRxOnJDUlJWBpvnkFSgLulXJgJGjZQggYzOM8ZITw847arxRDobPi7A1b0pyScb
rKqlrElDfaPZzFO5M4w0qqEz+DCMl4rvFvnDJK3WONtt68p8aasl2tHBNNEae5pSxfWjPTVymugg
fLvGUD3IjnpVA46yievSPYaVCu1zANBY9b3xoSpoK5wInVhbJERmJDHD/KrvDmyBR2RiUX5pp0l7
rVlJ/1nNTbPcdXEYfMZbNqxTuJUXkZUUDI8L/zJWTGNNIFq4xR+Fr83p9fFKA7e7w+TfH5Pc7sGT
d81SgpkpeofSYRBCPjoR1pG0wV3uhTAKdqEZN7eir3Cjh7n55Eypu+nCtGfmHix8sqs2qWLo186k
AuDU4fCkLf0YlAj01mbTAHex1PFSqjJeJ21cr41SwxRNDauR3wk6iI+p2Va+ijpIK11tSZqIeNCn
kqpqmqg9E9GKzwlTWQixMK9HLCx3ulmjFRUCVkTJqHBysvbUtskTb2m+q1xLu9FQuaXQIlUCcXpA
GqZdhJdjhhQuGM3o0ozqeuO6QMDjyXUup4rZXFblzADH1xTYYHzChJ5eEJpVf2wzWr/ajcGqKpE4
AmdMAeOEdQI6xmeRMVTWFSN4Zc3ZV5/1SC+X+MKLA8oYytI62UNomFajozjrivDel94I061TZsF+
KCKD3y22lWPkw1POojotvGKEU9M0HOHV6OSbMoBdQ20+ofmWzEwmNtv7VCrWRxYJn0hjFBdCccoT
v76PbDgzjnUhQFhIqZ7GKRwQTPbxLoigEhRk/DHgLsfrkPTdZVf31WqM2mEVdJO/rqu6Dv49WbU/
T1b2k39/sh6e5U+cibOf5dvJalPDWVhtrJlS93p8fq0Jyc8CXsmUBtCZ9ee45evJyvH5uobFhM0s
FUHAXyerwckKVk2FsQf3Eo/OP5nEvELy3h6soNHoq9j5MoWBkGa/E0/YWhnQ8U7NpV3bJEWSMEim
YSjSJU4Xd2N3zmNNcs+6Ks1wpY1TbCj7rHZaeDx2JOL7SMDtOYV+0VY7NGYlHWEb9+qqVMzWPpcs
t/pz3peXpZ5Et4A28D+EOoL8uJ5qipYwftBTMLtjPiLnU33O64AJuD+il+WIF8YUrpvXb2tl4g/e
Gb6SEWCoNXZa32ch2YDlYiAdD2aH3lp1RIJ4PkTaPsvAad4EE8UNe1k/ZkFVBHLj6gHGRRs4yNA1
1lIWfQyGeaxWfeVrmy6xtFU/VNNGTSz5cerCVtsmYEynlV6TKbEchTsNq7SFGkLV7CvY6oxSAXJU
ks/VjnVI/oQorJvImm0TuV1CEcH5udHKMGluEj0lC8kyyvQ0CCsUm8rm38egLu6m3kAeVRJhGONM
Cgt7B9FMV1f/Fj+vt6j+y9btOuqeYYB9ef6xd5t/8Nt9Su9GeyTIZUckZ9M6fb1NQR5YNgNTlhlc
zp1nmV9vU3x0CDV0th2WSxM3Ew6/FkB0dWhswCL+eZNipPsHwoxX3eHb2xTbssXuBhmaZQkd+cj3
nVsocpT4rS6Osqiq0r5Q0tey3KW3ytQlkO8EpInQE4D/PvlxoJuntTaOmg1HOjIZzKnpqS0ozfuM
0G/TzPVjmyjjshd1fsh8N7shMK0/tYNRXqCIKJ4AKvR7kfXJDYtheTCKmLyRZrCffRExlzMcf63F
Es+MjcPugdQ51cUJBeJG9iW2/HSTCK1fTmlufu46S3tR9Gi6FrUVtdgVIFwRkAw7xnFBm1iskkUs
yGEjLD4K7eScZa1/K1DfXrelkoY3amwmQb1Jba2aAAiEPnQyjI/AeCjYAjQGRqt2mFE6+m5W9mPv
FOMjZ113JaXmQNYqpDCW1IedeokbJF5lZlTFH5R4MmnausS2QeBYlYRmro8Z0WGo/BLa053RsZGZ
qD+W1HeL2V/gNGW11HIThF0nXfPQwbx69CELiAUQGpQKrlrjCas6C5xalOv6ZkRKsBtDi8lsMRnX
k1ZD8xOdqSECiJ+aOA33pYWf4mhiVtw5lKjd9TRzIUZpAhzyQr6Y/TFz0zFXNv+eCH8+tOlEfvHQ
RiNe/3gaaPzQt9PA/QNN1f+ydybLcRtZFP0iKJCYsa1CjWRVkRQnaYMgJRKJeR6/vk/Slm2p2x3h
vb2xwxIpiqxC5nv33nNtTmeBkfHXU9sEZ+0gbjq4HHlQ/HgaOHRe8o/L5EOuVZ3MfzwN1DjEOe4q
sq/LGugfjUMuj5WfpiHY4xRg4+TlUQXV3/rlaSBCU+30XftMuMtsHmB7ZjkUoTkXgZRaT80KKfj4
1HoplQeYqUj9j9mtrkF8BhyYAzwj+bruXD2EZeQ5bX3Iy2YJZncwbZB/LUds24bH0URnwARRLult
Cb2U3OKdI+TXaTQ6PCDmeXYow7AU8hQ9AfxkLV9Ll4C5ocCo7LsIsepsg2Gm4npK17kB6X6EpypF
+KzSLPKq1BPgcdkHeZV+DSCswMBIHTXAGAMyn5OzLvu5K06WNjv7mZ6oWBVGIfWMG72jRCpUdVJG
snyNVMFU5+ThWlTFtp0w85S0UNWJtofG0RH4LV51VVSVqcoqUF8PMR1Wxgle8akk8jOZFFz5quoq
zMJ7QfdVXuobny6sZLkVNGONmLMdmrIsMH/+v5Vqv9+e/6+Oef3Stm//6/78FyVT+J8UTYhMAXqh
ErH/PJiBfpjqf6Mhsc78kCt/fyta4pMA+QGXWMdTyaHNQf/jYPY/4bB1+IzYIHi/QjD6BwczvuZf
34u24Auzbcjalg6O6Bele+j9SeM9Nl5mXtnuRg5hgiXIBSlG+EzCOguvuiWNzM1MQDR9FL0AWcG1
P+4O1RJTQTogP163OE+o+5iMbqGQvipKkgYFEf1vE7tRVptVEy6bLmoIW7NF2E+OiPx3X6eD6vPc
tlgFu9iFYhPOy+IHWUU2mOSnpq6otUNonEqndATSt5S4DVZuj4q4IX/fLBvLFRA7FB2OWTYVu15P
qSFvhsiyHzKhSWfrkmjnml9Bt4NBu6+0gXilOffJ+2h60zYi5ahvoijhpFQAqL2EPHnUQi97jYF9
BH6EH4o04jxstIz9x5DHJLkJJKz0nMpQ3urcEGyWEsuSYynSZ+oO7DqydvYs351Rs1Z54b0nBeJd
l0cAiyp+rdISVSPSgydzy/FKRsAHPbYtwIeJ3rM+jlYMzrzhXTddGfAu4ACzgyRTrVFzorbSYo71
vddYgIRCuGPCU6P+UkbHqtGyG2uGMEQ+1N95VfGWuou9I5gdEaYcrF1bdoQA28JZpZELFtnus5tU
x+ZH3yY6wsBNoK5HUv4lC1rPfJPQ0vY80XhZDJlJQsqC7lxG7opW2FcU5WjvLBk1N37p7WTTvLtj
GO4qI+ZulSdDG4wNteJZZ7i7sszbI1m5JDA0mZz4mqkJKJ3ymI4D0eoEXKZL+ZrtjvMtPSz2bvTL
fNOqwlQI1BA1G4t8dB8ColsavkzPfM6K1ODBnUSrprHQm0Ygp6WLHIfURsgKo5LqiK1vcRayLI5G
uMwxYK1lFjWu2BnXH0uIbLvoPs0fZNKREKdqMwm3h5tIN3k4Feke0RMHVJjk+3/vLx/3F2WK/vv7
y31fZn1e/I+BRn3cX64w8MWxX3GBsT1En788OPVPDuZzdR+x2KwqyMePO4ynxChWvUQvP/zpXG9+
PDgZgzCss3zwlW1DGUf+wYPzt3DOnyMNNjGelzzWHaFiSahRPKL/KkYJ3vm5Vub5hcL5I2YypBLe
MFNaBEuBxXcA97RKwuzEwJxuSSDuddZjMWhD2WuHgg4OfzRuC6pielMcx7Z6SXvrC+lYQGfdaVrE
deRb+0XyIExhHq+lG31p5+x2CKmWcvIcsdpx4Cji8Axxx60XMWZX+Uy7TJbKFiN2VzyVpqRNsvSu
CzO/8ST+S7/0yRAjDeNWeYU/uzVDcSOn8lI1NhO8nzyPAlhIWTgXz677wOhTd5UKkBu9U36nEAV+
6iRp7pUuDuYhFQd79q67zj2YYX5vztPbbC0nMCWvWUjV3zyUVFRFu9Lprxwsl6tycC526R6zLkM/
kfaDCUFjKbuvI0/qduCd2bCPXo2+d2P5zVWWl2y703MyJttKE+G6t8eYisJMW4lGe/LzpsKrUeGj
Sa5lA5p3qTC5+ml3IISN1o8rcysdH1YE9uMJwipDKNWBwMer+ha86zZP483sigulJtvenO7gQIFf
5+FsNuLFFDT2ZdrzYIVPjqVvnb7vIbzRAccl9DWe+4dKg5KdY4RluZqcZyZF3B79rT6FE7B6J3+s
rYMztyBdgM6WK7N2IWbr3jYc2cfmtkNEvh8gSBCcJjBDkr/Ngq4uHnu+jJA643Uaa1SOj7CrY53v
jQcZQp+v6oGfQ5LgG6RTKQvK2dOpYTPvYq+8Gsfwu1VX2Csc594qnTsNptha65xrn1JzDg9XrmUF
gytu5J2GGYK1uXVN/xpr9Tq598Lim6dTdxLmt7lMvydF8xj5OA+YJEYgXKmzr0IBWZ4Tkq36FK1d
A6HUYt8bu+E6o7qarqk+WHxcp0u60+k8Sg0z2xQ9bA2j7d881AB8qAoG7lbPHAkbX1TZtbT5btcZ
/WDwOsZVMYl2ZbYgnTTWkqtlmqFK42Y6LXPzUC9ouVXvrS2dhVMZa4LeKPquYQf0HJzllV6yE0dM
2PZe+xw77jW68h02H5BiMbxATSwL7PuErD5ImK0/w6BBZ/laFfVnb+AHb1ORMNvLGecWfeOaCMzB
vvMr764fQ3D+WFpEGB7cVPNWNi96LFjedlq8bI03hxBAlOLXHUncJXUzrLVlfonMpV3TPhjhQuaj
O605dhQOsKhjK+mym8/y+MI1kvCxkW9mwuKoDDK0YPcsL6z4XroBB+I03KeZwD7h3aSGAao+Wqw1
fnoSGbH2yOK+WHUZdzhqoOU8OEcGB0gGAq9Xb8MwLTTQXWE+HxEpNvR7WquUQA1nsfVmTO0p07UT
BWbEHkCfbPR5eUE02c9VZ6/pQYK765JkmEeXnUxTAlmpx89QxktsV/DZQyMiwmg6fD1DBoi65xXI
/383MvDvs52Fq9Ti4uRl2l0Ni7bNeUlYTh4fS9d9qJr63GLx5KpjvVWVfnEh8BL2dzC+ZNamGKEK
O+CUpL4016HQd1MBWifnO35VUwuzSgteTX1XfLHyrNyWGs/gKPawjg9EMrI52oeIJPtSzC+1E5c7
n0ejlaKQm722ltI6LZ28tKpCnJ0LrrbY/Dwm+UiDUXlTt/ouaax7mve2ZoleE9XGGvkX81PpvoBJ
YfkhjwZ/uWCMgYTgSH6gqlKs2anUmywZklVj86JO2/ALN+UvTVffga6P9hHZQhhM/SbnAQfDqP9c
eQCfm5Sfr6mVgWdCrRuhQwNUaV6TJuNRQQ239C886HaMqhCirPYeHuRjanRPTe2ZdP71T5a/6Hth
jCJAE5VXS5sMQeyRokYGByoc1dzFMPk3bfK5gPayVH0ZhKn4MqYTBPcs2dqZT3Onz7XKrJyV3xiP
g3M7tsclfB7jK0uat7DgV9AMHxONIRR/uiPQ852iPBsVE3CViRbunvMmeNBvxOTf0LjJW9vSQjA8
M2A1HGAbXPes+SwKnP3xuq2yu8E39u6U8fjF68b17DO8/CtZ4vaNo/7J7eZkpdfdse7OrKaIKPXM
627ETZdupqz0451RN6Djm/iJNf8uy5rkGseT2GJBPPmzq20Hasm3GCVwrtNbtmorj59WmG/GKjrC
itVIZXgU/ooy8ukIZFe5t6byjRYReRqLbmUpAIXtPiVlPu4axpUY1wYZACGBckuowBgQYMlFXker
KMQSnl/HsFv8izCb8qIv2gK8vLMOgyvPXCc976W35nm3TDg3cJbUGw6PBM9jtM1tcTIq+8DT6OiE
vHQQqSFc0J6uNZb5GJMWpe2KEYG6hL2srbNltdG+kPqbOetv4Ry9cuRQwCcnsDVakHtuYOC8NGmZ
XrWmKIN0yr5NMW0jdiR3hs7qsguhkkF8fZYT/br4JhIkBTrrRVtihli2zqCBU8WRFvHNrl47/Sis
8C4N3b2mjcY5btyLWU0hd/hcrNNMf+DbzykusrdqSo6DEYEwqqfbpoUM4rW0dplusS0mnapkjJlB
TC3mCv34uehwvE3ZZ5tGFyezH3K/vpnrBCLakh5GC2BUnN0MvE8wzE1b0VX3bml94+F6Q+Vtsc4k
L4EYJjohvS0POLEjzMORLdozkEqqMBexL5zOWPlJfnF9SJZpKGmB9dN500wdr4cxylhBUw7QOO0m
n5iiaHloV3FpvCwtlPpsHAG2MiELWsi55D43TXU9uZnLskbbiBgW7Oh94WjBfmncEQa84p27dxGv
EM7lQ7W01TqJs9MoOGpTaPJhdwXo4smuxPMYppwRhfvUGtOpnIh3IQjD1NZIrfh29JjPICUBzh2W
+NhYzWmKom1Fpi7oY+9W2hVntOY89NVwWiam0yJ+zSz7WKcsqltzvh4mr9/Pzdxtisk55cIr6Gfj
QajJHYR0J6hti+Jc43rUF+JKprmOqEtdO4vzlIx5fmOifAcRUZOVRmdmMEjIKiwPqvWII3tl55id
qpaqHG9p9q1lkFrSk1cXNXjtTf2NW7UmJLGh3EV+217ndTPjVxqvMuqmeSiFu5R6lZ2fjwl3TiKD
JGpoZ7XunU47OrGb7xxZHnxuW2ClqIiAKD5goVr9O479tk5mAfv349jphaTk/1gn80E/ZjEYtKyL
FQMWZwlbLH7ph7pkmLAY8bUAQlTFbyqZ8+csZhpMZ2ypAFK4ulKr/pzFVEgXmJbJGGQxy/2TWQwq
5K9LLFbWbNlQv9RXwSf8eRaD02jTpqEvFzOXj7WZdeA9Z9XeWSN2LPnWqx2QRyXDCmXyk/9I7Ak3
fk+2Lved+8SzTmbZHfIk2dSDF7aB69KMtInlWD1wtmDCMfTbSCugT4xxRJVLlmivRlayqynoa5BX
bkglO+9dOqOdzE32bUcTVN4njAJQEOH4O5/HFIa1RzmRb+PQmQozqOSSAloq7+dZeySz9WCWdr/S
jSXDiDseHG2+yNg7CjKvtN18axif7LTgWpLAgEuMG86sR2NoCzpiTVZgXXoaqobQbli8zw0uFWmI
bWi5UWA0uUkIdrp0DDV1lkyBPZh9gD/vez3mS9DpISFUKlYjHSpVVUqxTfFMMaJo1nwYp5Jb0hhd
iZ6nPHXBveBa0btrdHd3PeSS26sxXDVD9SR1/4tmucSAM/M2LdtNZ5Ori3GENMny0HHVHnpR0f49
bvKqfDd0EQxNfOfzzFoNZn5dRflB5PNj2vZXWjm86409B7o2u9wszX61xMOw0rS0W5lZuq9bjdCo
dNY0KBhBaMDnsivpXQx2dWx26nQ9dED/ZDmuO0XsLalkpWdn1jZemi7rYoJ2iKfgm5yjY2GKeYcF
Wl9RPwauzDiwsd33fXMJM4yHJnQLLFBNDW7Acfp8B0gQ6hQNJQcTCFzb2qduwsFplgaHeTFsLdhd
KdfyNAOKYvVTkBTTCx2xYM7ATZWQNINShXolA6M0tRe9Ia7eDNRRCbIGovXfMKF6J8j20DZ1iq6M
XjrX2WhyZSyaz7INrbPR5eWVMCIu9q6fBAtd73KgJLh1uDIreKKX52JXaLRRQCJzzpwSO1ezDlrd
Puq2zTrCeByHjuiBbPWgaw1xpkosuWZ5S78OmxkCBeSqwiGBITYl1prIdsjdQOjnajKNW2LU7j5O
h51vVft5jI45d1xmSOMFBzFVxMUcX8jQMCri75q9fNt3gAvZW2ackcXrDM3QGOLnMoLL7BMcjSQ/
zySbs4tlkRme8t/Ewr/tQ1XPgF/3NabynOBUUeYUtQj/S4KsMicwzJovLln+kFrfIbaN+eEvz82b
3z7Z/4d+AR5wUdaA0godV8zPf8RcRVOLlGpd0va1T2/m6r74vdX1X/+6skT+/Rmlih+O5UsNMu2/
Tyr1oX+cVDqdjfiUsBkATP+gUPxxUglKGx0OIuJhbBV/Oak4KFmEkCkz7J/kFjyivFZ++2Qfvop/
sDREcvvpRUhujM0kfb8O0g2hMqzjP79CoJHl02TNzWUGu8q9zugFRW1F4SXkc2RxiS3nhIVAnh27
2SH427f1nGIyiPQ7M7Tu0qZ/K3UaHqZJHtBjrqQrtjzLr1kHrLWBSvtCXHuFCCDQdiR7pte5Mq91
3lQrs8/PmEe2YeRet1LblrN26yTywZ2LJ3ui2SqsqRvw2L95jMzFIWUulJoWYSCkn8WTj808rjVL
v53T7NxTNDP4+plLarfynenagVBsN4Iba/RgQ1PQ+BttsmZ89ePuFPopLj/zK30+u6HrjkXokFDD
Fm7V51DKs89d3meTEZFf72F2mmV9aibjiQvJXgpx9ud5paVsAkVyBva44doZ1C1Bcn34AtT8Rsr+
FI3zekCAsGhkNzPn3BgV3ML3tvENNWHjEe37IxbKFxQCVmPWE3VFB631A7SbOxktOy1JgrxCRKka
JKmZTM0UX0CM71P4FSJxHuw23y9ze5d73WthTGfNK844Oa4HR226+iNg/D3Oz5UbVe9uUp1R3Ki8
9w9mZN25kh2PB6i0cwuomRm21t5lhznXV3WYvpilxXaJTGuMcyzjmO217joy8mCJhkMDurJ1tbvE
nw5CDx+tfH4gBIA1KxYr+g/JKEPgkKFer928PsVepqqXmLayuQ8DICQv7uA3O+YvxCCb2vupejIM
CisoqnxlyPaVdEKPyOY3DS9svSbZ45aRh64kfHSxlgVtPLGcwtzBfiNxxDo4GKb2QBefvivrPmNH
V92lZVcdC4eFV1unjHNsGU5U0NN3R4EUYlRMMguzS4BVJLkzhIHDBnqK3UX7pBCtkttBqsaCk9lg
aBAFNoCkcutN5+kJJJLR2tNfZAetM3+OrbkOOp/EUGg6KSAC8I9lBXRgjNoHIn36JnV6agoyTilv
proXrc+mm8vXlKE//FayK4EFcVkMe2s16blu0zFQGpSVhW/EsU5e0j1p2H+SU9N3HMEzaJS6Ys1r
OhElh+WtUeaPI+DvgFxitwo5dViJK/BmZb1GEbhqvSmgJLas0FmGMyCrU3pKvvsa3KrB6nN2UwSh
UsN7iyr/azEbDxxdb3z9ElK33gKBMbPArLimyhxt0y7oNUNrowywEvsqawLKxy6DzI+kqx6taX7v
Xf2Y+N6RToV4S2XaJo7kI9vEDa1t9Zk1Ub2lf1LyxNGcU5mFdJpLOGCE5TbGRwmAxX0FwNLziKso
aGvK10qP/Nw0NrBco2KbpNMh1LJdovsxaIzhC8QPTNTddCFs88rV43Ui8rBqJqowF9fZmw48XBcH
ceTROGPUxtarsoWpz9iFpfHc1awDeUyxPiRLCWUEAmz8PEcmn1yzvsVhnQP/JvnRd68aNJTWwJE0
hXpQF+ET9u1hPeNQX4yePCCXUlZ50FQ6pv2lqe7laOaBnsB0nBx+7lMYPpsZS+ywCl1eX+aWAC5l
VCgwYHfSmZghb0uI6migJm2aujHthhAoeG9Ty5nG3NTy+hDHi8PXNhwrr71MedysZmivXg4xQ+pn
2Q2Pha4fu9FbCMP5gLI1dlZ4zK9TqX8eo+7KLuQ9215w6okTFOCiV541moEzadc0gQo8ZelDIy2b
QjoaLTMXfM5nKdNi24xtJNdaqfbBdafDmBjkwerIIGWDtSp0T9vpyzysQK7HNILl5XbqjWObzlT3
tLTJiCm7jcshXv87L3/MywbH8t/fRdS8zCLz5b8vIurjflxE8H2YusuVgkj677eNPy4i+ieYAjRQ
qVH6w6r5Y2J2P2GJEnRH/5474Y7658QsPMoaffJ3lsXC6B9VUKF7/tdFRI3fWD4tE/mS2+rPF5Gk
odbIXQx5yfXFCk+SQPjXSejSo4utKKKbkm6g49LXzldHWmOz97WiTgGMw9AFSN4++tIqP/t+bC9r
CkpG6tQKt3tqzV5QB01978aRZMMtZIlJ6ROTUioypVkYk3PjkRboI3HplaiRzS/oGC+GUjvi6c5p
vZwyTH1nKEnE+BBHUEmmAaIVqgmeafJxSkiJGooSI31+SZXIUiu5pTciVTqHBDMrMQbruKqLQ0Iq
2DLZvX+wIsCoAxpOlTt3FppOHjsiSE33+xxOZ7b6UeCj/9ToQBV6kPQShCElERVKLMKIQtW2EpBK
JSU5aEoJ2tKAxmSgNaVUZF0D7rnqZdqv6tCgtbRVObUmajhsK29doVsNdfVQW0t1MtmGrZaCSpXG
Iy7egL2iAXagWEWJYJ05STjbUXZdoJAtKGW4tjlaBevSXm/elraZueBM2cZr+33W0sWF4ibSLqhc
N9nOmr+2lCjnoc7RlUlCTW3asIkj4tG0sI8L/ssaJiQwv3wsUPpcH0SZBVyqyr6JVN47ShLsuoRW
LlRCuhJuYyUbDkpADJWUGBH8iJTrrMysO6nUxoakHlcmdOLiakGPrJQwSUgzC4oC2ahSsmUZTVcc
8+tOH+k3K4tdpiROw+ppKUb17FE/EyWDOkoQFVO8capOaQFcPpVoKlFPLSWj9kpQdT+01cY6dEps
9XJVcYX+urBLR5iT50JJs3AOzCBBrW3m5DVU8q0jOSdsFF0Khp64+z+7YbQ2WI5keRSvJvVl6MOd
NpODCZdLhkbcxsbWD294sZYEM/vrzE9vltkB64C4XCiZuZniGuMw0rOOBt05vOwEqnTJJtRTMrXU
vCfNlRrSBRK2SNiWa42CQ6Vnu8ovlG9fwZy7IQsPxloJ4ZFrbTWz/kp7DuXXxkOuJHMH7bxCQ59j
+oILVHXNp713qFlkobfTV4GoP50ap3+D/H7fosvD5LxOlFCvK8m+y3x2zErGx83yPVPCvrFg5fGm
rA8qVH/+8jQVjPK5VoYAoecXA4cAu+FtjWNA08K1pywErjIT5LgKFAIGewErMGU4QGtvmB4wIWh6
kV1pyphgf1gUlFnBxbWANyjddPgYRBs+Z8rYgEUOrxdeB99brjO8D72gDQAvxOjkL2y2jovNH4pX
IqkQH7hQUxSMWqfvLDwVpjJXQNA79cpugSpYbGfUP8tQqTQ8GTPeDG4Q5lUsmuK2BTvWHqdBTDwg
Csp9DXMhx1V3e5F4T1hWMuxIuSD9GxMAqzO9o5kDg0VU0FBRTZZxM83WkfYPcZa8sdb8zG1oN2xJ
7IHcidO509NSF9FdA9zhKrESe9fxLdiMmZbthatxI6xY50H5DyNuAU4n951mIvUakj96JiKMUSH8
nRL+78rA/L/H9A3yy0v734e0+qgfhzQJJhXMZLeNmYjj4GdzpuUTeYIC5LHGVsvrH+ZM/RM+SReD
pott57cdw49T2qdd0jVomESpxsBJDOMfrQvUKfznzop1ASe9QW6CfRXpefZKP5/SFvfuguYFcbGz
sUv37D+NVe3V6Qlj0dpSESS5PIWs3Yy6y3YjfcJajPknl+HKhpzhhxnJ0nR6aLpKbsyyuXVQYAhd
XPU88Jx8otC+DZZ+byfalzICxBhtaTm5iMSPTsBIvLVjq6SUwFmTts64cuble6ayPnNvI1qH3hdc
mxxBptZtrbFjJMj3+BGiwLSHm3jszA36fMyv61fLgBGANe7J0hFeezd7LDRmtLzR3+KqfR8X4zsD
MvWSPYC+xpg+5940rhltv9D8/dQs7ARBuQUJVgvqRfxz4czzlUao3xHcfKeCN+EUJgGYZX5j2L7b
YW/xG9mbD4IIJivixIjxW4eWEeSyqfGSmt/09Nmeb2TrLCtSr3Dpmj19dTIIXTrkRnOcLco59Slf
FdKEmlGZ84hybnb+i4gtbIjx1OSUlA+06CqfIGtipfnTSN0pF6Gu+oYIluAsNLxsqyu3oWkMrEkc
5UGclRuRhyNqwJI1t4PyKrIJr2Fk4l80eEasWuVplMrdmCufY147z6VyPo49+WBLuSHLkqbxTjkk
J+WVDJVr0lH+SV6b+M+UpzJhsJXKZYk7PF+FWBVOofJgjn7fHiWp5N2kHJqFlcFVr5VvU5NmuBNp
/24oT2cta6Zf5fMUGD6Hjh8fdV1KsMYNKkhz0hCPQ9TSnTdfeUZ7IsKbQvlIGwyljF3wFewku/FM
MD/iw3eqzTGuHwL+lnKlpkNr7zxZv+XKsYpFgAewcrG6ys/Kd27BR4fH1cObvzKU7zXUQVi3ygtb
KFes+WGQFcormyvXbDXD2C85sletMuaiWTZXo/LZRiOOW1+C+acjxtxVnYMvCSVzFbb2O0VAFhVH
kr4Uy9y1H0ZeXXl6E59lSUMv4ques/Wnmwu0i3IBY8zA71VZw4aIISbhRPmFk6LHOaw8xA2ImP24
YOfbyA+T8aT8xj6+weQdY9u894QwbkuBRoVFvAVYsOjNlVnF60af7jNNRAGxJ3tVYGijz7p+5FIX
rfUlhLBKyBDgDpLT0H7RovopKwtW9bSZbmROxm/IyxJvGM5rd04eRVHeJHUbf539xeWsieT13Hv0
OVXdqlr6W3AMXI+dLF6XhVsfgJO+MVh+7fVwO0Ye11Bfex+TTonT8ReOq2NmZc/K2L0zW81ZZ3mj
HiL+iW/FoWfpVvI+1XrFo8q9e92zb2pBRojw5qpoyrOrW98wbz4NmUb+qZluuqXxDl7T7Mul/dwu
/kNNCIx0BNyZugcumswxJud43pnGAtS3YNvlUQDCrgROkLyLUIlYunE37DOzvrL1hTZm5T4ojH1c
ymPqhhfPHE8a9ZLBDAaAdwqze8GLbYUYwTqu8OPXxCuKr07aJfvIHHAKWL2JluFbRwef6cpySgX6
zV/91uaZpcOGdcz6phy1z07bjrsEpsQxKnreymXE4pEEF1+S1sH2oxiomngmheUY3eYsh1fEPLXb
Dyv1osPpbdQf2ql8ahLG/k5vq/gui5oq8Ix2YCJq+l2bOGSy7MnfVZbAHZNITxUbZTxh3Hk39fgH
wzY2A4Rya+MvyONOY7+3c7QEqbUc5i656EV9lZvJNdz0fGOOurEzicdsTL0Kt4TWWSUQN9hlYUgF
kl6We8OZbLZZ7CIkS5swjo2dYappI+GrZSUVbYxxLFdZgXHEkeTA54qnlK5yqGPB39RuBpa3A9Cz
PhEO21UM80mO5lUTx19DKYDE6o79vwr+bzkUBcD7PxuJt+bb2/f/vuqoj/rrVUeh7+Bzk/FySHD9
KeGLT2z+HYtS+o97EHLKnwuJXz3TfywknE/IF6bL7clkMFERs39w1eFS8+tVh+uUY1jsQ1SW27J/
ueqYmkGPWZ2mF6Gzxjv6XVxxIg+5pdG/yQ6eygxG5HVfJ/WtcDG9GDndrPl+Ohz0MNkVZDKlqo/r
vEca2QDGxcM9gM8G8Biloc8hREcu6EXKSEDVF221FyTWJLDJfewrw87WMemwMp0vk4YJjUveS8hF
D0NZelXpy03h4Klxw+Zx0iAd2HTE9d70uOjjd6dy7yqz5BMAg9hHk43I7XEctv4tGMn3gewmCkTO
VIVqBR6zSx9CeMwcMky8+txxxxEXrwxvxxyKhDPX+j5yFpTUxtsPDrGVPB33oWN8sappoh1u7nkk
4hEoy3rYoK0m+8rMs43fuB6TXehA0JLPfVp3QWFX6S6CaYQtmtHCVENG/zFvjGr0QEVmCqk/JhKA
NzNJdMYUKXUeYGp0adUQo6txxlWDjaNGnFINO4TT7EusBqBIMArNzES1Go7IxYIVUgOTU7vdDuRx
u5Uf89SgRiuDGStUwxYLWMJ6Ul2B1CiGdM5UlqgBLVSjmlc1eItyf4bsxjKnjo+WCz/wwKpaS7cG
bkmov6l4FbVpBX2vEeFNkpMc+lUfQmjqEOJlgeQAhnar2/mtlfhYKTEQAxhr0res7J9Y+F+Xuh4F
GFh3WZema2gFp8bXTq0GHVzmcWDjSZxkcayM5ouhpdfJiIBRG5jcIzluOsV3rOobnG1nTpK+W8vO
TW9szipjY5qDmZxzWybLiXQXYgC3tbQi32daQ0gjpTz0echSLKQxbGL/sMmX6NsyjVxPefZiw6fd
sFRLAxsZZm019jdaIxu1sUgJ+nZtYMpp04sucJUWNHUT/EWkEcaDBOEAMB633DNUqjyAOV/utSiP
ySpHmynmdyZqGUFNmkv50TrVQS1lNvXMuK1w/sl4CPRJP7s2EIS0saE4VWl71PXuyokniIM2tZNx
1mqkn4yvziSo/J3Lz6OKT/ozFKWwaF088GgtsWev2Hb6q9Z13/Iw+p6V7OR4d627ZAYNTSlJb2Nn
mQdjI3T8JH0755tSKPRAOfqoBVR0CgvAst50URCiFKErfpjD48Qt02PRduX9vxvtj422Kn75+/Pj
88s3uiXfiu5/UJbUR/5xhgi8Xkyjaq+NSq7zDP9jpy1gr2K/+vErfNSPMwT+Er5vHSs5/zLwkP25
1PY+6YzRrDxsT/GX/hlkwFC8pp/HZaLLNKnwXCbJaIAv+HlchmBftBRMjpcp85CF+rja4s5KNgrm
nrtTt+UB0nKvs63hCw7vq6rlSuUAkVvRABCvsc62QVh4gm5eZwPjM1/lc+HiEoq1K71bXuzQWM6s
k95Gp24pDKU9tUJJQ3tyToUS1+YBUng1DfUZG8omQYHreFiMeDG3Mdpc3hlHqxHv6TQ/jmh3rpVe
arQ8Vxh7P5aIXQmzRawEvyQj5McONQsm3WLP7feSC6jzlrjWw+hoX9NBexuVhOgC7VlPIyEEFsXf
6xzFMNW1c6cPPbdrRMhRMfBwS77OSqCE8yLWmZLtByVf9nP5KJWeia7plA29nB9SpxI94Y300SmK
DxSd3tWtc6LY/W3BQz4XN1gXxoCH6bnwnS0s/Ke85qGDsgp56X5QUquevM+Rpay9xq1HHzC0KmKW
A/osbB9qN5Vk22cy205dNq1qn7t5g7KbR50ddErsbZXsa+Lo3ehKCl5KayFcjTzchom/4VrdBhba
cSqx5+baf9g7jya5jTZb/5WJ2UMBj0TEnbsooGxXdbV3GwS7ScL7hP3186AlapqURF1FzOIuFN/m
o9qVQSUyz3vOc4wtN4LkxtIyHRhDxuFngmyvxVbvWyW9sM0ykuYISDWBoLwCU/hN2Y7ZylxG2OAo
95aqxX5jMFMzu8TadYDt04ciVJzwpLdz/pi0luKuMlpPefn62RsN5JCelPa6sMRXejB2Y9SfI4kB
z8jRXU8ykK370lCy+JlQgqP4rgZMNDa1YGO1EPkcFbMwpx0G8vpUbCpCPqd81uN7yKsP+MvHHRzG
lxQfFIe8Kj4PZgLLq+qajT6JO7cY9kZOlWQTdNtsBiWL5HivdGzfO3Uw1mMwF9t+4N6dm3kNjF8v
zm2BbYKFllhNfxqjqbzjCoD8i2HPS+psvILCRkNIN1TUSfSvLVioCyfVew+byJdK47Q5m5OKW1rD
+1ByCsVAyUtvaZ7jym7XdEGz0xs7u63tOqPf1ynuUn1CNdFi+PJmdVcK6UtpK6u5m+mJBWU12mzI
ukDhWGd0QEjL6TzQfexBBRi9PKWV14r1ATVdA/8KeeogJ/XTGFReHQ0PTOUxAMLQZ6ZQJX5ouqgm
o6nsFcUdXtJkIEU01wHpB1lsx6pM31LDandZNyD+1ILQKQ75HszsupHYT/wGTuwKm2tzPRhacIxC
AwdeP122SIckI5TJc8qYT2beN5tRFaMv9aI9KWKmlxsUJc3f47z+9370fj9aYuh/fT967l7/ZLq6
/MzHOxFHDtrgcP4SYP9euCWVSWYegsNvB51vdyKXBKjLPcrhLoYL8COVSmAbY77q8qV35fYfpeqp
NfrjnQjYINZmrIasqD+aDTOJCWUsR/Usk/IpcAtEudRQLnSlW8pitOraKikL7wq8IcvuFyLgMhJr
zcNS3oB0MdaEY1zr2DRztzJF2q/aweYDTYOtGKtTMyte1atEysWb1qfkpvOB9QK/z2wPezcQG1Ii
ql/FsJHbIGPGx02CVfV+KJqdCer4rg4pcAmr6s0exEXZVfeNxqfJhAcOVbl+yyZQOGVrFsQWht3I
yQNCdRkV16ohtlpimleKYV8E9uCu5aAGXj4oga9oDXXMGZGNQH4ipP8W5GJguSrI109VvRcFBSd1
qdzITGRXLm7kVW5HrKoGCk4w0fYS4MwCr4wvugjQZUezWTeu8bmNbQIO9aWQiJPAqJ5i3biTpVv5
SqJ/qfjgrYM5vAfQuY7rdt/ZZPBzsh7U6n1WVYIu9K9DwhqvCzU5tRyl8iK8AKh3p+EwWlkznOhG
V+8qhyjMzJsgGTF5aCGFx1j809RBSYQu9iSQXckNLbYry/YHU70SmQmyJIivY8bGKyUfxHCYJrWh
+ZhC9qY6qHZxKeb4op/KcG8k7U23TMhGizAnh9fWc8C4JjZxVsweMHpSboWK0tW8YbrTrFyZtelO
lA1tu0Urzq5eTdsMezKzo2TP0ciFw9p80WuI4Uh74bXSsQ7NsfXmoote1pP+NSutyV41Noz2KNHd
S26oyC8Fd/ogtUIfg3a6KbKiOoQY7CLOHJ6aifOglNJD+VJX4VR+zVMI4a1WHrpGv6zKqiCyPBNi
jE1ykB1nGM1StslIgVGvdS92FT2kKXV5DaXcNZMtzIg037YhL25GMnol2vnBiScilOVrTvSj45h+
MAvlWhPVVwLN6y4at11Nb1EBx8xTsQ7uocruKzs/jBSlm6FxnrT0bBrdCPHEtVdqmTyqQ3Bv5Uq7
k3Se07zkMPQILR62fgwqvcWiRni3rplQd6p6k0/yoA7xtk6Tm5iiHrvLnge1eWX1L2Ho4keb2v5S
MExmWzKQMVWLkyV4cS0AcujeJttGDmkduwS/wFGp1tqb0CkGb+X0iHWgW/VatamoCl+VEjl0Gvt9
ir7r9YV6OWTDa8RrjYZYweW2GRyXOgP+ojq53IFtUW6SyCDDzYaKMTlTarq+lGyoPWgRpZdS5Qn2
tsYAlQHin6zPCyF9qHXuxiI51kGje3GVpx6m0G0StS8iQfvLi3stnR80pb3m8UHExWfkDi5GywKj
md754dzTsKWlJ1GjM7Bbu2ld42WSbnUOAUF68aiMB6Koyp4EXOMXfXzs0/rW7JQvUZXeCLuwvIrd
BrqyEbT7wOG3zCB5dzmpoCbACZcYhJfynEmuSpSKcZftkTCbV0pJB3VechFPIuupBHDOENkJqw9l
5gcRvU9jOF6jpsN3sFTInlryr5PpV93QwID81/fZxVW9+rLw0P6oHS4/+fvdVmWsaTPsdPR3hByz
0A/nPu5yFOc6DFLfVcDfz332Ly54Glzw30ahH6RDyA4uEyib5moqA/+Zl8lBn/z+2OfqlqYSTdJN
jE6ImN8f+2AbWhYYfgXVIk+IoO97mCirIrNJAGkwqVNn2imtaXhJlF9z2iMYHCOCDHX6OEyy9LNE
IiUSvq2Yl3k4FQg9DhOc6xr2KADWV6BzD2UyvlRqfSIZusfeKI4VzWVrE2JIUBkYcpttruXsQiWy
kQ5L36qNN1uLvd6xWy8w1GtXRWIbRGARhmke1dH5OpJK3iRDdZvryf3CsVnP6Qy0RHHmNcnHJ7Or
Oj/WKj9PyUMn3K2pFlQ2GLG6FQnH7ZBSvGUGBpuDLj9Am8KXC+Cfc+PAQNenmO+lynplumYCKPoN
PJghZz1aZBNkVLXCobLoKy5CS7koLtWivfSLCkOYBmPmZKz7RaFJF6lm0WzcIuNziorTqclniazD
IM5dBYvSY8jLrL/XqR/jTo4OxHARtQZpyFk0Ig2xKFlUo5E88XrCZOK1ZX9hB217qNXildtEwpKS
RSCrLERBZgq5qV/XachOgMmEP0zpnRr169RhZoyNQ12OxU+FWdIb5kCvmMfyyCl78hTHXReOezbC
CshGedlq7TZvok3mOofRCp6Y92O7T42J7vJkwwZM3WvdohjyvNfvGPXALiH7ZZDreDyPIqQqrY8d
2Dm8fCuhUW8W4C49B0K9YxvTb/Bqon3ZzoWZxzLFO1PHBJgIrq+bzLbJ9w/iNOvTtdqyrVGBlXG2
LzlzVOpt2E/XQd0UrJPGuQ7djTLq5Jrsa0i7+yCbt2lPqEedW7+X4Z0U+ZlOva0+6gRXVdzK+bIt
RM1LLNCiefIIPJhAbLQdOELmygxho2l3YxfeVcV8bIb4tsm7p1hqO20kwA65r/LsGovrHBsQRQdr
o0J+24zOdCTNrV7wlnO37JIvCSO3vuGxKVNoIW8uFiodhXpmAjhbL+TL1nSZBSvZZac5DG5yq672
E4Ld0VDM27gbXguFOG1713Sa5rm1ex1GiV8x3ioquOq29qC6yeAnZbKFp7+Lp4QRJ1aBuE1f8i6k
1cRhiiYnjq515UdViIGKkD1X6PDJDbRyreaYte35clA5g6viUefQWLYKtXWjD9/71ahU22dMcDuH
0XnQzMe6GRbixENWq9pa1adNXaREh1PlMlDdbZIXxKUYitJu/doH5jIxC45uOEGC7rOLLOPbNPdi
kJ0EuZjvRdgde1lc8J3zehwN4+CUllylYsj0jRbLiRitUuQ3kQoQd6XY4XOCTFxYSQccQP06s2tJ
4/65dYfN4PZrumK2iSFepChOeWcqgJZp7NA6T0pj14TVE1tlJuGL1DOY9lHo3Y3Q6szXxgECRWM8
xV2zH9rGy5Q+WJXCvDaScE+h0bXOqNOb5v5k9QNzXavYBgXDV7epwF5RASrSx0RPj6Ha3jtFpa6y
RL2RkenrVXaKmCCCiaKf06R6k/cCVNSbmfNRU5tT3OuIbnm3DyfwnUnc7zKdbIOr33CRHMoO2Shq
sG0F9NI4gB66rn/K9drHNJ9t+lYlfDXgZdMuFCaSnDmUvTlBzKF4WTbQ/eZhN+AmdyGNja7EVDVf
y54c4BJ4MIzmYqy4ZAVCR95m94FavKQY28za2svG/NKa9EmW9l4zooe+jW8t0d4xA8oYeQdgeqI9
lODXVK2IHnbzaqblk268I4r6oZh1PmHacIrK9CKei5cxM27dLDSwIdACUdaql+BUNft4U1TV2SKQ
Fzvi678awLsGsED6f7I3KdEr/0QFWH7q933JT2PJFpNJNGnjGw/3mwpASxg7BeoEHQ1iLhar7/Ro
Ion4sk2mLujb/whzSU7su42JWBBRruOaMP8dQSuZzpbqY+QwLaj3S9VEPeuGxT3IIhuP3dHu3pqE
IZ7JaU9dum+UgBacRHMfAgkCLlgacizLeZV5duvkg7tii+V3UrL7pVanU9R9S80ON+XQa5bmHWon
/WCp40kN7YVJDFOzpaoHiNu+7klGzPHZAG+f0+lDJABwEiU/3VL3009IV04rdgVNQPOg+A4eJznY
kN3pCiJCA88nHm50QxKzghlF+pj0F7CdslLulKVyiHAo/Va0EIWBTZb/KaOeaAgJWiRWctM25Gkb
+m213LrIVTqNEkTJaWk5UiuTbDO9Rwx4LmaKkPqiuxBt8Llyh4tYt1/0pTGJclwqbovgNCxtSqGu
PA/UK7XwwD819AygbAsfH/RDTBUTJDtcOZVRe3aW3Y/UNYG84YmguS5J2mlpdMKB6QVUPMVz9ald
Op/6AGsvW8CcNkEaoQp8zsHSEdWI/H6iNKrthhdaB8tVSp3UKOqtfO+X4iy1AkKxEQwo68A6pzoj
N4tSqm6gnWqaXRzM4KSWQ1kPXGHpsWoptCqWZqueiisOwMcBfXuNofkpjixasJY+LAy2D/XSkJWm
8smiMospA6fspUSLMi1C8eExSsNLnPeRX1C4NbSMHemI2LUBmkJLKZdOOZe6tHQJR7qHwcZ6Cqn7
MwfU2zCYtpjGxnVe5gcC09oKyswXcMkXs11sbPJO/LddUbIbMHshSLzHLRsLeVW0SXZ0x/zOPpba
QhBzyOVgh/TxiEW+07Vfc63eJU6ztfs68mTXhBu+8aR19boqu5zhJ6ntXmlvtZ4yCSt9Nidt64Yd
sxNhXbQJ23FZliYW8fy6SyJuxRQWmJIJ94zDbopIzpFhEF46NycaeFtsJIFc65Ox1cPyIsWZnLms
2ym6rZkOhySSiRc1NDm4vPbmQq/kVkwVsDO9dWHZPEaFNPwodDmo4lN3bvTFCxauRJMr12rl1jf4
ZvJsi/V8Iw2V0p0Iu6IefE3D8UtguSpeuswr1No5OMX40NrNq0xRbKqSqprQ3SpReg3Pai9wo3tI
+H41OqjbDhSeTG02wpKXmpGZPLlqXTuEAI0x2ZVyNNcEIAZ0ZodERd/mXhXnviQZadjTp9HWfU7l
LyIQ9JJN97zREZBc+sFj5VjU0TZKYcq5ILKWKrkk88Fz7ZJ82qQCK9wo4DaZ88Go5KNWN7jJgcHr
dIf3uQhBRyVHJyYuL1PAKKOzHVBU8irnDXmQ8GanscPrMJD07+i8w5SYFo4/5S09vu4TyASknSY6
9kslBvUU7mbMbUJYabFza/USq+RbO1Dkwx5oGp3FWeAusbYTU5b90IDzyHVMb3iJeG8RAZVu17XN
W9f052QUfpuYd2oc0gc2NUdKf2xmYMXaTGl5UwUuQfyCSwvUrdUFX2pSA9DZ8r10Q4Fe1++00Bk9
pbZ2JkZ18CXEZclHJbFFf1KMJ9LsToNTXODooMAvxVAbiucMzoC0xSLNrppJ3bpOdxXb/aOqV/vA
HCHhqM46TTLWv7FQoMOUN0bnSi+em7Ophpg6k92SNMN+chnYM8Wri2tAXgd6dwAHgzPCwq0KXXWe
YVrZzdpQtD0mzt5vsfCxChsb15IXajFvRGHSQT0pWDTUBacHpkfvXgwCnt5AiBlnf3ilLSnDMLzW
ZnF0xdR786zEG3seUB4xNZTs8tIqBBiuxEsS1YJkHI1XRqZs0my60l3xFVPdpsgrcpVy3TaCcpC4
LryBLqRJVlfSEfdj3EVebhEdHXPLXY+Jnj2luJL9sOq/JqAaolF9yLpin8jyGLns6mm7vulm3dfj
5qsVIugt1IdoHGlyn+9TTV/88ukDK/C6LazrRgnoX1zQEXbzONbjxbAwJTjSOp5BaEaCm9BJ+EWj
dQ7BUJh0tXgBYArUXQwzWlCzU8SFlz7gKBxSX1MKbPQzJAsB0iJTaW+yljLFhXQxgrww39kXfQmh
j8SHO89nrcmNNdsFOldAZowLOyMw6q8OW0wPMsGJKRnL5TRC2ijjxxL0BuSPG3NhcfSluRqBcwCw
9KXqHrDRnFt73M8LxaNx2AsXgD1GAB8VoI8s1slQLeiPDBFZTMOZzoYZI7e4nRdOSLYQQ5qFHWIt
FBHznSfyjhbJtQUz8mE/xYZ5CsviI63gj5YrSN7E4XXbYvSBhPMDNaWtYbRMrgGi6jZfPeFbuqo9
jDee++nuhsqzQ7wuPbmLj3BY/WhXbqKDRVj3FG3/3eC+b3CNnw65FvFt03wq3uL27c/0t4/TLv0X
XdC9Z6rv8PUf8DvU4KJZ2ex1ySQwCPu2zyVMqAM6gLL++099iymAQoXLs8AIYB3YKuOpf+Dd+6Pr
QiwbZov/LbCfxRXycZdrZaoqkqCZz7N8rAWISYa7P79Sl9/wPzGI9300vwPqtam7y35+eQQf0B3M
Ze1qrAzt3IJTaVQQdTHW7s99v/v53/n+mfzx7/zwgYAtUNVNbBG3qCjtbI6D8/nnf0D/MwjJx2fC
2ePjMwmxy4Ny4ZnoI5WB5r2DW5rBsqtQf9GvyaF4bf9ccROMryQROy3+kkSbMLzSy2tZULy7VAVe
2FZIIytgQJMN0y2rpT+S/fv5I/0hIPrH14IL6+MjBSgZSLbbvBYGwzXmdtVjR4IYAPd5IIZOjGsV
T18dhUAK/1fYv4WL/xLXstiC/vCma7RH2irHKGAJPxhCC5rFJTfb6Tz1CcNRzW2yYwprDFN1ZdaV
51J+3O0TIQ7NCEegG260bLBZXqnj61Vl5nAEWkOvOrXfyFA9DJgUmm2Wk9U0DkOgYgTSlUS7H408
2Rqpm8AzBdRaAIGiK3BfITTqfb3R5IT6Nm2j+dzbQJ1Cc7X0kHT2vG1gG+b6VTAnm6B7WuasYXtH
P/DJkBnActvvCx4A2ClOoZ4z45FOKj+17kAV1L7NnnNmfx9PGkSl7uioC4pwN9VPbYLHRjFQQYoL
TZrXmBsTaDh9oZf31LytKmM21qV7J2lDxKe5ShaXtRWHpm/GtfBVgQm8TLNnqbC7yhnUuRZIqzQ0
jz+/RJbg1Id3iHQS686HD775w8cFOl2byLGdz+rW2AX7+Sgfja3YN2ea4450pXnNWviuN20M79Ac
sDT647OyhwWyVbdgTjbJry0Ef33JfPd4/njJ/nDcNjPQGflyyZbpvkQ4HvyG0+mmVv9mOfqzK/Pj
h/iHBQ8k5JxFqIdn0KPZ3fi5DgEfeuSK7MD7+Uv8HsP+ceX7+CFYFIYPK5/L+9EYbqyfI6YXV+kI
+5Wq79XQrhPXC8/D3z21P1sBsVMYjPHp1CLH9v3fy8mEOU5m6OeBg30xv/bK1c+f0Z8tgB//wA+v
HRq9U/Shrp/Z8S4ZsgHu5vhb4vEvL4S/+yM/rLLu6NrzxGjq7PYXc32Q9h2Sws+fx5/dkj4+jx+W
x4l7ddPkln7W+WyPGTkv+8ZNOJyPv15s/9vpzVP81pRt+VX+n+U3v5XV1AD4kP/3+3+2v/47/FL6
n+Sn7/6xLiRC9HX3pZluvrRdxo/++nov3/n/+sX/wEPKb7mbqi//9Z+fPueU2MatbOI3iR/016/t
P//Xf/42m+Ti+4n+9z6bbIpPzee4+LP9ET/9TQekt1gzlikjl+yv88Tf55OUXwkSnPhPHRNnqMqa
8G1/ZPEVhpCgCUF2fe8GMn7B5Lo04Vg2Q082Nv9kfwQF8buFia4dys4AHTrcxSxgieqPn+LRUjge
k0dXAC4D36NqQuDt3NtLUVP/3tkka3oQcf8rdDmF6Yz1FGJLm9xPSZoQ6eHYeVk0lEAVNZAxleyM
2l+P7z1RnWYupVEhxW+djoe/pxp9VWONol7KIEhQo14tvVMEERtKqOR7I5WQEtCABfJuVSiOCk8z
nJO7vGSGh6sy0b0sVSd6bgTOcT1hD1JV2RpOe9ZSYhMD4bQ656HQeqKODGv6hyp3BfZ6q5onzyzw
I3pKyzEy5QB3ZaR99WzkdfKsWBWHcVejkFPrswAPpBZCmxJJfJo5jXRezk4j9ETMQuqW+r4I1dwj
tdSdVMXJLx276G9yFK1106W66S1Lya5TAgsnaS1edIz4Mwc2t4RMSrEwRSEithBftMy5UTRRzt4s
83iXNc78luvKogKZU1t4k8oQDEyCayU4ALGVpOVe9IaEaMUb0vo4H/pnGeOwJKqIJmWCbaaklaAo
hC7qtWgGXcDYBt0lO7QHvm2qmnDrYBm+bpuejkC3aK9dGgo3CWXMGJ5aM7qDCHHpGnRAw9rg1bwq
lLDHKNWqZe6F74WEABwpJxRLT2Gatfrd6HYZspndcZwdCjXOdqpRSGehLwXJvmZ6Ox5yJzaHL5i6
wi+c7JwtgYpgk8VRiaHM1aNVq7QE2JTG8elvbZ/YilbNGc+Ry4jqt237//bStf1SXuI+b79fqv6/
XrlY7X++ch27uP2P82vcVn+2dPHjvy9dS1EX9gXh6qrAAs+q9sFaYYBOxVwIJpWt/3dLF8sWhz2+
IFRu0/zUt6Od+Yvg0CdUSHaExhdn5LeF/OrXjQX3gL+8kfJ7vt/hUWtBfzsjDH4fs8kfFq6GuUXL
0hmeQ9gTrX4R0zfz4aX57S9+FCFM+/vFkTXbZTbCL8LLyRH3/QT7cYuTa6XqVtk0Xoapsy+iDgVR
15Nm4+TjaTSImfrOUkIJ34g6SqVi4KFJYd3qsopBa0jXPjmN47YsFkF96hpF1F7+XnG5EGHHtYk9
JPTVSsNU0RJqKatBrbCN5/m6AWe3HZfCzKYM9fVADeoW/hIktKVY07AZgBa9fZXQ0betUnoKu6WE
M1ZCMjBhUybKtnjv6SyaOfqaswxuDC3mNOAJsslrCu9MnaLejH+ttcrE3hGZuWrcyqJi1gyPrb6W
hDGbuJ43s6JRRz5GT0aloadF4OUzCFWpS2K8r7eYSI5DZ2srRyqXXdQ/WKlxV7vtbZPOx7DoH2wA
zBzCakYVsXmsG3NNS88xinAJhmG6x5gZc4ewL0Byr2AQCnoFyi0OdHWlcpiby+nAIPq5SpIJAycy
q1rW5ya2kx0BpGM3qq+RnU7Ip4bjmQHpLJFpZISxZ00uHaBYKVaSXSonUnDwchyZpRjBfFFP1UUP
13nMU0AXmFHzzGp8cnKYSVG/h/iUD8vx0jBhbETVdp6bfYB2iNcTzhjKmR8qKQC8BTbTavuiHfGD
Rvlt2ciLyCBMqkyq/Tb1cLOnJhw8pK7NWHGpjlq8Bn9DaFYUfk7maqxqpkj0rWkJ851UEpUTAh56
mFgLbJxqjtHsdm1RELcOXAgBgSk9wnmnGvQ56Ytm3xPa2JaZ+sW0u89MtCiZyuycspEcE06UWvF1
VQhasEcztnAQMh52NOXgpom2ZdTzxhhhP9vkMjTnXkbKNovorhNTA71PLA0wxzkX131RbFxs/kkT
rFuaYXJ7SHd4CLZikAwADF54+OC7Vu0ftcW0WuHgdFz3he3BqVSlQafHeECPuZr5pb2GewCRfDZp
xaqUT3qrfVGUcU+Q4mgEys51HsbgpRTzgUyf2FhJuG4ci24NDTPM+Nrjde2kkNha0qOlT1dhkGie
oadEmVP3OQv1ZwOTl98M2tE1ixAO+LmOdlNu0i8yk5625noD7+ZOjO29mfbrMeT4YkUg+/sl2RWT
Ccn7+EJyWEOkxJDYaw+VEt0xOLmnkQw0Es5HWIq6Mx5qVzmMo0r0MLEPdeJuMzsDveaQhCs1vC+d
KW/MITnw/C6sRH0hkQOjwkAmcksGr7pRkcczx3Q3Krn+XA7CeWpFyQBznKYAsk6Q3owUn4PVzDS4
CkGzApsb+bWSgvTLFnqSnHCP6lSfDXwsmHbQzd2ZM46urOmhJ3eVvXzCkFuR+13SM6IOxOtM3x7T
FvtBgV637lsb3GUVrKFy9BAi3JaL2VjSjF12QXkHSCvdupGq2mBzGWo/7CuBQyu56EuCMVVKncgA
mrev2nCTuuaTbd8mvPN+3VEN4IxtcRCQL09BhU9qnJl0pHb5aobA6u16ivjI4coyrTs1rBjZJBPR
0Ck8Jrk2r6Y0uE5l+dqNrpcA0RCJTquQot4usVPDqF7aLmX3l+z6RH51muFM53HCzBdbrzFkz3rS
0bLjvIAUXXWCOYWpYVgNhgS1qi2IqmMoagPLnya6e0CDJbX+mbHqCJOSjHnRP/fgJixTVhiRuhdK
EjZVw9uc4h0PnEetaB+sDkipVjIHGpPbMZuOhTvsZI1PTBmSxzCa9vHAR3QcT32Qb8MccUzN7Bsp
5zNhm+cxsi5LCMbC7B8HZvCgwA+xM/eb3oR+OeLX5t1YF3b6wgSrJYVlbxFWQGpkoEyliPdhO0br
yCgIylj2rTbzrrUZvrawcO7qPj5Iw5YeTe6w0SKInogPSlxcAQyUuzIJH62pxrqkNjuLQQPLDXSE
8WQUPPs8co6ic3ZNGh7oaXl2K2b5c+lVIj0blthhtqGCPiCIpqefFKH4wKN2XUZBTt0Fn1SZHnit
/XgeixVi8MHspuu2UnmYJolaVdk1lv0SYG3pIcCasr+FB+5jpJwpmGRamMfRlWqOXwN1sBYi0otq
AjzT5/gEpJzRdn2XFxKGQFHueiBTO+Hm01HToGnp+pEhz4sd0LXTwHfT9VIyRlK1VWmawxWeUOaT
Da2BqWieCjUKN4oqziqOXnaudX3RMrzyJG0TG3gtb5Qs5USTQuVpqGyuF84P6wkywcow4+wzXZ80
WEB2x3M/6aeB3PLXn29CftAL2ILQfuzqeEVINUL7/UE40lJLY6YfKJdJcm+nD6n7alq/Djn+cif1
d39i2Wl9EHImrmI7Jel0qVLAYkN4rc5j8jfayg+axG9Pw1aRbYBcY3/5/m/oejdhF4nDM22pLI7o
8cdxvAMf9vNXC6L/h03hsmEjQ8OmFa2VxCeH6u//TFgmk+GkfXjucLvV2C5anc9hfd+ZVwMpCLsF
jGkd3v/mv0cJ8+dHCfmpiNvsU9f+UT5ZfvLbKQKO1TL+AZvwe7DpwykCtgPv1m/SCELMNwGE9C0K
h06ppQOPgS7g/zlFOAgqCB/Lx8KGdfAPaZPG95cMSjGnFJWHIJgoCkZEPPSPVz8Ll5E2cBjOHb6e
+YRCYSWXGu1dFNtjc7rCf9BLj93hpUWovlvC9UvKviFu32ukObFWH2u9eQa/d8ja4iYmoC+XpL6R
BCcKxU5MV4lCEOYPjT5E9k2PkTo8zknxBUD0SO2c3gKTsstrCyiAlpMNjdDjO+5gvm529AnI5CRB
CYy2IAho9IX2ynCAclMKYYDg4PbZgxVvYpqebBluUxhB80p97yDJ3/tIuFtiZrD7au/E1JXUjnuw
3xtMjPc2k+C92cR1w8g8NkncPidDUPhdb+Q6uAh4DhhnkgsHOBIGdtdqh7XTWGRG32HMGC56Pmnv
kGZK47hlZaCbO3vhEGXFo7NQnckZb8U75xngcxWUge8MMKCThQZNtPIUL3xonXsr+al4Xc8BXCkg
0mWAaRuotNLMewlkundyr+gH3JeF3wOhHgcLEdUmvgueusn0m6mNP1VKeYHUrhBt6U7dQrR2QFuL
CKdO42o3Pf2GtCaui4DE1rKBM8BfKsMOIyyepHzHOY1uw+Iy18fLrmxeVaDaNEDvdCDbqduzYXJ2
gRaebTzZqzqrbjOw3E6xNA+p28FqbxopfHb/+wSMd74cVsB6u6I9ZAvnGx6vjjTztcAWbAICNwCC
D1CszAqodNmegri9gtL43AAQdzrhVwDFC4DroMvOgj2pS+1b0ZI/HvXHmUxur0OSwA8MH8GrEsri
AJYnAcZyAOazYW06KQ+43baVrb7oVrKhGPdUGfI1LCGgL0U2oePeEfr2YtoYBKh0bSFGd64K6jzy
KTe6bGyc7sDV5azcW8DWM+hrUMAhDqb5vgXHLmKxcsGzuwTB+yJ7xOp2X6oRzlxlE1TWERVho4N3
V5M+Q0LUjgPgd4rdpeeCgk9Bwgeg4YWjeU0EVxxkvBLjsgAhX7Z4ZjmFfGkcnQau8aZZaPNB2FvX
DgD62B4g0QfmabL0/NxkarLHJ8NUje4HhCN2rtPKGuuzalvHQeOS6hbgV98qXm0PlV+17ucpHC8B
qPkkC3EZhddjLW1/hPPWc870jbp+gQbB5WfYflUFWxx/00Yxgpe5yU6DO0YbkXd36RDgkzFwxpkS
XDW1dPRkFNXKyE3HUyKywlWvFHCstVNgmjdmw85eMXMgEyPveJ+4V0mlbFuThEeflDsShAr6JJhU
DEQnmXRb4GaexYZIxVO35urg3dJ18g5de1UH0eQVZnsBtKTxoqmllBJvcZAejVrZasYCpqkvK516
qaHO3zjn82bMio8FE0d7MPFiSQz9mdiXMjF8ZAPAnQuTJZhH6SlJR6OjTnVeBG4ziatjHnOySbG4
5Hr5JB2Sd5OeUyKYz5cE5U5jGn+2DdyCitB3QcV5dVzAAUXS39iF/oAcclBwaQilyzZg/InzxcPJ
crWJaTMrAIdVJqdVQctSHXSrAaTrJummY1kTbrCN+Jym9X1vd7Doo/EutC2udw2mNCirni1pkPHS
RHXOvr9J7jFbFR7cAhdXljIcAeplF5x2Uu/fe/+v/hBukz+XEU+f5Jc/ExD5wd9v/fovKndVkiSL
6mfafOn3W7/+C5IdMwcgTaSePwqIzi/MN3Sy08t43UJB/O7W/9/sncly5EgWXX9Fpj3KMA8LbYBA
jGRwTpK5gbFywDzDMX29jrO7upmsFGktadnbTCMRRADP3d+791zVYdzOHvL/izYEYrWrWzo6I0d/
P/lAQCva0kbopNbXXWwSIu78Z7tRNNY0IMnTIMETd5old0Vvtxb25OSGcIS46s2MQ90XRSVh6YYC
rkVsR/H/hG++hN80LHXj16aoHDP/ekXu3dsr6nhnUk4o4ipr2DG4Szx4Pmk2ukxXrPubqavd4zgg
arZzK/J7G3UtWMg2miMrHMqB829c2V9npC4H28ALsbSNuSFpz/ANNyGJFTKmCyi76dTvo5L/JJ/9
qVrL61rTTRAWbF2ymPS0agENaOgJTiJOT6Ryp/HezO0dGcHpFvm4sY1pkO4iZGtYN1PiCTuaMhWI
QUAd6Z0ygaMW6a1LiAiscnTg6XihtBHfEum3ZYRktJ2GjblQf+zpJooYcUaKsa9r7XpMOCS69qFS
8XjlWXwiIkvKiR86mIX+WH0dV+N6dpL96Kx9qA39Lh1APTbuMUmt2U/setrSyO13lNbLWjjrnYN2
jugAi2nMXQ3+b28j8MgwOO9bO1GGm/VV8SHKjqTiAiHDQCsZ7tLKNKnngEq/t8XB4V4Ajb6k8F9g
yTrM+QTRKToran5eSLEDvwGtkUmHD9Js2+npNyBk30EQW+FkmZdzYx4j0lDHvLkYCKgSYjmQLXmt
rm3AToYh0HIBZeVCuF29GdZSJR9vOvWj+tgKnWYjtruyWh+sAjEGGav5ORXVdZUPO7Sz53zNjyoU
M39mm0B1hwuKv7nye7z7PmHtITLoh3ZYMGUparzVy0YchJgGgHw6kNe0XS7Y+lpbtO8sP989Zboy
E/e2F1jotaQY/CTptlpTHqMivRaVcjeN1TbBT+MThBuCLMcpM3x3EnTSmp3d6PEUeqIUfjJrG87F
yEiWG0jOHOUQPtnodadu3CKe3iCFZfOtbuq6RqJoXpdR2wbTjMZzKPLxdl6SWzvSDt0k4Ia7T2gi
8Shb3X2jKggWkH9WuBPLyIM2iMttRSJDdhLt0fGHipSzEsQOmrh5qWAHvZSALAPgtzKh6oyvYVFd
mla2b61yN6tWWDgYz+fo1Pc1fQ2MOeuwIVL3zHmV1VY58NreLPj1MCSqZAebEchq44vZ9YHOGwLB
FL0msdDLPp+s4tAVQFfInfCNRTnm/XrPJA6ATzEQ1lHfZSPc1IzTLEYJ3BKu/uKJ7AWE+mVNgBoR
0RPpuyDYIYdOAFqi0d3/d9F7XfRMVEQfLnrDy//wX7o/X7qX35x5+eG/Fj4CFlhSTMcwMdn8Y7L/
r4WPfHgWG49MaiBRzL//fea1/qA/hUWYvECXuKe35h/jD1w/0J4MA9EkZf8/Ahr+ukiwHIGAVnUd
qCHhiIgz3/VijERTpoFm+Dkpv679eZ6f39yW3yxD5jtpkLwCh3rMSobmsu5ZzrvZnIh6c4isWZzF
aoW63vxEFncuouzW6oafsDU22IzTTWlCVkISfdAdb9+1WSichnOqYte7ejJ2ldNhjVbvM5Fszb75
rhTs9nTvguATmBcDPec1Ka60UbPY745Da1zFJdMxNp0A6rmJgcVuEIEXOb2kF6jWATF09HOyVGx5
smG3yN6dKbt4rS4zoGVnz4SGjIqTbl8m+35ebn6D+MDcSPYEzTxpT5rsE8aae+U0jhIWtBCRLhgh
wgvwH7K/mM2TxuJHz1GT3celq04ECX7NaUtaur7xZJ+SU3u7L2hdVrKHCYDgPqKpiRvq0gXtQzGq
viqy76nRAMVgfTXIjmhfrpAdCZeOSR1wEOIpNE+NFhATzdSqEcdBdlct2qxz7h4z2XeN124DgPiI
meMl0sbJH5Bux56yEXn6MsjeLbGo7JDdfRFnVwrNXTzVQEP0556mr0fzt2ytC1N2gzt9vCxgI9q0
ibum3QODdGio4ieSneQ1L6472VvuaTIPNJtJPJKE2exoKub9IPvRECjYmq94bmWvOpFda0H7epF9
bEt2tCNa26rscdc0uwVN74nmN98Fp5SK+SW88ePMMcejUW7WRjDROLdpoLPIXjFYvE1kZ13QYnfM
8TKh5V4DxI7n7DEZMaOWNOWLEWOtXtzZsls/ZMUjjKQvGm18OxLbmra+S5C2Mndfbdnv7wYMM0b/
XPPHY6mcdwqA8ZwRwULIRMfIwMjni2ZCminaGB/QUvFLXycMDiNBRg68BdsszZ7jSPIUid3cKmwF
nab9uTCucMkxNhlfiE59Vhhn9A5sypwBBxmggWoVf65y8CEnIAmjkDzr8p0mpyOm4twnjEuIfGJu
ksZET5ewfzXEMIqcrrirY10y16pIWLeJZW40MGNMYxjKCDmdUfRO5tTKtyeb7lRGOHB/XF+XUx2r
nZkuadbtLCc+Qs5+xlgFcWEbPTNjJkO6mUaYu+xzPDA1ShkfqXKO5MmJUidnS8nrmGl8HTmVr+On
clFIDsN2m55nOZ9q2WbgAYJ4YmD/CAh7kXOsOtmYCViZAg9hOKyA0yo5+aoxUQ5+KdRTY1u+mywY
TdruNJDs1JgNg3Uxm75mwHPW9LbfMzjNwjgVF7YWswjnTbXTVmsXzasXrrM0lplFE9ZDW4MuTYsr
B4g1gQ5wR9aRvziKmm/WunzpIuPFyds99e0ySzRcBxqd6qVQLiKCwWR8mMUAy5qJrKiZ+FpC4VV1
ouJR5NXtNEL0pKd5ZdIaobIEXWZuADKJDXSak9M6FESND+1MN5Uw4qChNUWNOsZttAcSHWaAMhva
47Dad4mVXKqF+piTImMIqROOil0151/NDFZDnw4B0AYbJa5K3JiZOn82E1FT6wpQG2zgVN7nWkmw
KRZ6Az4YdsvWDRJ3ZWCWpt3l6uZnQ0dw4PU3GhaloOgZM5aC3dAE6U5zDjqJOWFsIDkulvEBhcN9
qZeBKMFZ41ARSbhMQ+lRc8RxUu36a2UO9ClT5WfbJ+pmER3jZ5pTm64heJIjOGeDJcf9NGbJuKtI
i9tR+pPHqOUKuijuKxhPAPExq4ilg+WdxVD8LDDejuGC70YjZNbOvdXWdPbNjDZnqcMsWMwIcF3e
3tvRcu9W1vq0RlVKTgc2SossH9+Z5u3AFHPXqGO1q5e2Ju+nx0s5WuKJ2G53O7tLukpHacKqlAx7
kzg3P59gNLplh6Osfpbt04rYFwgEoehJTV+cY94uDyoMxzGFtlg3yYMo9HtXtB4MHKA6tQI4oo4K
0qdFNvmNqj5jujPoD5rtk7AbbdPUIGvzhAedyHkibSPjScdEfhfp1rx1BcqnTKjLJ6fEv417DHYY
GlsNz7E8Q5On8l/OiGWJXyPOqvMgGcPzerA4RE1dv/14F/DeT0CCk7wOR18OdAav/ftNwOCsZR4n
NFOLQpKtHqhK1wS/fqVcdv60eHwBS7Ef54YQ2Hzf68lFApjf1asTleoCYbifkfuTROLWbtXQSAhv
8hDBx9EPQos5m/IKYE8622rMdu1f+7rfbGB+e4csnZfSJP/ZVhk+vL1DVinqdPDy6jyVxNAt92qG
C7f+RKLuydP/G/00syr813K053KHaEK8+x6YWzdLmYvx3JByC3nBPCAYwHYctawb42iFkTI+KU1R
31Qez6CnHkB4ofBfGgoV0JY1KzlHreIG04Z3R584EPXIkRIZDegXlnI9Q5NRx+dUSY8c8LnnOu+N
XTKBW2gl30KkfMmHItAKMBYr5MGo1+wwIT44zAfjm4Lu0ALxHlCVbEyanhbULZEDCYAuliK2Nol9
aFf9R2o6L5ysSKQjxZjA+ctldUbfcRZlr2pTdqkmTemvM5RQbBPpJvFotGhp/CUSWnnfTghFPC2+
sMqGQySJSntbm8KxZonT8C7TlcnDRtWvLNWpNvPKERaP6kWkvghzKyznQF18dhUgDs6k7ZfMxCbZ
JWQ8EDrQ2MgV0EWsJluPmdds48T0rhFa7LuhtDg9zkcsGC95qiff6FnsVJtkP6dILunjEkvat9vU
6Ina0+fb0rYL+Kqcae11PrVO/4lBgMjI3zwPvJBIexlJabSmfn3qIkOpK/5vONMBezG8nqjCZizO
NqHIPvX0a9yjSa/6JNDseeOmBeQvo7jkrpCuACFjr8f95aCsPnEll1btPhlmlWx7eCdbIVTzgCCc
mLAU9Q/AHay6tVnudRb1zaSl7YYcRPYjFCK1rGnKWO0dYOY50JIetcsken9oIL/RkbXLFbW3/eJJ
cfmo1U7QlfqDrS/snRGzGYO2IZAAf4Wl5MQW2k+kohymSP9uO2jpm4ky4BV7u5rvIw9z79gFbW3c
2dbCE0JMwqLfWeN4mWfJXZtat6UDBHcZnojFNn32jWpot4K9IHhx+ndj4MoQDQOgkErjaEMGyIvC
MxE0nvGsGcqTloztph3wpCQOdI+VNC9lrkPN7HYqAwOvGunYk+WZjBszJ7zQdaeTQx73xCCEZV5i
YId7Q4ph3fnQ18sL6QTfWgPnnGOHwICISq02+Zhf1cl84VT2dsIsnjgpuBbYvLqX3uQNKrHFXcMa
ho9dRJuyYUNT2zHnEl7GUfFupnb4CcIggm8rwcDZdhhEHth9stFjTPSafWH3xi5lHkEQaVzCmFsR
y7BDzUVyoWhRmGvTY11DLVXSaysxkasRX50rJwRsm2Si4a4Vzyhztm0Mu+9g0tDTWDWLaNoOLO9V
h8NWKG22KXJQeSAXV3zTjoeSetIQrvUqRXfFfJox7rEm9zpytX1cDSSWtBeVBBEPQ6FcFY10CBXO
0YynE1ndUKZkJgqRISTvquQyNLS/ek4JhY3lHJg2wzloRde2FTr5xD7mjOnbXrY1WarO+EiThiQN
9dK2ug5irHmRJVPvj1EUnYQ+OkFvQetxSDXZTeO6adg37CHRgMazEayM7EKcmoQ5B0X0GHXaJ0vb
J2/qq/nojWBCT7yF4JVc0EWlp9hfltUczKOUFV3l3aXGieXj9UiqFt6vFG8qg/FuJdWTpOJ0QWWo
6x+a832cmYddVPETKOKPLyR763+7EpN6U8eu6ZBhLFfGN3/Z1A8j9K2RvEFtASuVzn2QRvq91cf1
IakxbeXzeGqaVPVrTdXA8YHXsrMabG4GQnni9waIA38yZb+ZKwMppyG+KGl9VavOXcH2jVMPKFH9
bka1BCgi3pZD+rXKzEclKZrbWKDFs5KEaDNLSLGcz8YiXDSVOMAo2gFHcB6REt01K0AhwzoKYzik
hn5a4+VgNd7VlMenjmXbUfJTrle8TAp5QW4wN9pj2XTA4aPD1GjQpWbXBy/5sqqLFRRT/NwC/3rU
Ywlv6I34k7v6a79FilKwwL65qVIb8+am5jbizi5y57M7f03WPxf3HwKU/6N+57Pf/27hUBWm8nac
L+fUvWsyD4PFwyePxcdPxatM+s0fgPMqV3M9Xs6Wfg0l2uc2qUweP77I3xVC8i5BxWVLqskw9F/v
0uz0qKdM/gpPD/Th2zCV7Eke0tn55NvQf33GX9tfBtoSjaUWfw07018vtGQpITBro5/ZxnxjUdvc
F1sAsSGBNsGjX/mPBzsYL/68TYPkyxy+IPf6kze63xuHj//gV8TOB6/16wd9c1u9MfUaL6aMDNtx
owZqON+JXXmTbL3QCwqa5jvu85bJuI8gIoTWgb3jXH37+FNYstv3/lO8fTrfSaaANxSu3nHfn+aD
Hjr+sPWuHZ+RlZ9sdo9WcGFvyp13Trbzvrqz9vfRJt7Ne+qev+5qEhQ2tM423ka5EPtq118lNO79
ePOl9sUZ4MzOOniH+jTtu4dye/fxR38/7frbi/VuB63ofVo0Sspz6SM43vY/wJrea5s2yDbRJtmk
YbUtj/Xu+ttFKA7kpcxBdgRkf8zOcGaDKLRz/3sUfPn4U72afz+4oTZ94beve0qacefYfKrk4PlJ
sO7LXXRfMVohFsVHoeyD4PWLnXtu9/pXGmnhx9eXj+/fL//v9+hdtaHUKEvf4FlQ1zp0pum0Kvl5
FGr9yaIkq8pH13lXdRB+GOO4FsuZPTW5td/UeT8B8idWT4Vp02w//qt+X+P+9Ve9P0wqiD0Nq83E
OSFJbYlum/jm/+0C7858xuxCRAT0es6tk57RB/Q+mwZ/8sU48kV887orZeNWzsKLVjfnHrRxoz+t
wv3kW/nsPr0rbr1G3O7oZMN5lt8KoA9UycHHd+qzv+PdAyaIQhMEeS/naZyD1D6XOfT98hO96CdP
l/OuKtlRrCw051gNZjswvSrMi+HKMERArG6QTfp5JHHl/+LvQm7iaMxZALi/u6RrOAYQs0GczfJn
l0EsS2jy7T6+xm+/njfXePfSFLHXK21izmcrM+nf35TlJ12Fzy7wriSueTkbGelLZ5Wijdw9N4pP
btPr+vjRi//uOU5Shj5RwXPM2cBvg/g47uHQ+CtG+iAJkd765Sc0GLJWPq418q9+8+pgkjS0QU9Y
o55oDFdUVeDiPjl6L5hTDqN/vQYN/+FbYRkAr7lR/NshlKv69XN7bRw5tZPwFkKJ3VdBsvvs4/12
IX+7dXn/5KTdpGoRL512JRdyxe93hXmotMDPd+bmsfKP4KNPP3EqAW56WE6TP31SvXRZnj76Ut59
7zDM7KT1FvYSm3FDgtXq67bvnYrNrXe2L4gg2Tzr28iv6Nhuu12zcwPlkwr92Udw3q17yiwUs5qa
4aycan/e0NnMvltbbeOcxI9534TlhbNTdsrP+NkI5l1+FW+yHx+/Xe+oD3/ttP+9Srx7TnI0q2Zf
8WiSgrFtfc1P5a7ukAf344EwtlRuWs5D6T+qAB/KbbNzrsGcbkSYHCY/+Vp8UilfD2Z/+1b+/bpb
726Jq3jMhipKShtCZd/ZJOZsMdRdpCfN/xYfiDcM3EOzp6l3MQfOQwjmg69o2OXbu3QjNwn/3Bz8
V6su5+j/avFKLMA/Lf3Svfu//ic8I/4lKH4/uOdH/xrc68QNIlnDWy+/NfTlvyjWmJqbhmtYTPV1
CTr6S6zu/IG/35bQIpNgDUdCvv+yvNpYXjHIMu5H4gGU4T+zvP59sI5YHQy0K+GgXE1+iLeF0NFi
rSg6q77SXWYr+jDrGIaWBbAv00d9jjVabfm2ACFdlZVOnkeVPJfgpXGzbV3otDXYaUe0h8xSrlaF
JFNmMEFBZNlFIVnVqGK+LMCrXY+EDrdHQusqQzgu+b3dRVcZpnG/eeVe15lzM8cGGGeIZI3KHNxW
cbxamFg1ItpWmdVGbs24S2DkB7mFnqhShyRICXdbZcqbFi8bjdi3NaoxwskkOGGTCacQDjcvsu27
4FW1iTTdJDJDbhzVh1GGymVLOOn0eQbPpEf2mjxHBJ0ts+gamUrXynw6AkzRy75m1lXZN494q3CR
eXaixBVWEHGHXCg6FDL1Ti3nsK4UdadKhagltaKRVI1CNqN/gJA0lYpSRWpLUZ9dERAVyCA9mqzg
f21xj0OW8RTCVOlEbqRSFQT1hTmn7daQKlZksGJTSWXrJDWunoybyltx2TRZE+RLXWyZPO6azjpa
SGRLpLIeUavSoGbRd9X2jtTTLghrRwS2cbWeV6m4FVJ7K7LuqZC8OVGjykWeizcBlpxU7HKoDBSp
4a2lmreXut5GKnwL3YaEZ9/kUvtrSBWwvsZhK3XBxGp8a6VSWFf7s4502ERCXKvlRYmkGEXhyZAa
Y8rrqR15ZiIpP07twXelIlnFJxiaUqOA2bJHtNy2xqVjJfB0vBrFtVQ25xqtUqTOXaYAi0H7vJID
6VtSDy1c+xYH1CVe6zrsFraVplRP6686aqmoLqS2OstVB3cB9lNQRrPUX49ZdRmb0ddFKrMLxd3F
OMI31qB+MRFvZ0bLnKHIELKj63YReMf4QTUE3yvC7xYBOPEZAOylJjzq7UPcAr5bkYsPor9K6WEr
N3XtFOuPZS7yvVNKOUjzBTk2dFp4jT2M2MuKIc4xG7znOldvB6v77jZL0LUV2cXxFiklOvOJvFBl
26n6qS6Sc1rXxznrz1VdXI8Vo286+6RkRWI62JH1ExuuQEQ5EeKRCvqgBACP651ur5dxiyhRY0K5
JZyKrE3D5rrmrilg7UspI6oEAp2N68567qXUsRTeQ4XIjhnqqdM7dJODdZhQR8bNeg0AcR+NKQGH
lrih2NGoHza6bjGCTNlXR2gtjX64wLaDaRufbY0a09EcmUJ3tzaIBGwp2EykdFPvAASbpVPBTdXQ
LkqJp8G+mZlSvG+l/FOXQtBaSkIVwZNTNeRfVlIwWnJqcFGQOmb1s0ZRWkppqYnGdK0YB2m5TDlG
fmpJIaraRY7vZM2fTEXBnefJZTq7lAlVvYYay8vgtNoVqcE/jNWZQ3WdfoieWUhpz7dEpaOTqcav
yD62rak+Lalz6RbtlhEL417Erpgve5Os4vixgmOxIZRu27jLboxqzPndtZeSNQqRf5UKRKuNzpnD
GCu1831dLZKraD24xBtxZab0nnmvqZbO6L4meZoRFnD+bA5bRb+ceQ2undq7RUu6nwszheJP19gp
dFBgGZuV2tB9yxkQBOHNGPLeRMHeviRtAwB1oZ0NPjiEFfIz9r6ljXPbD8Ztzj1hHdACPSbGlPCi
a4L8tmqi8C2OzEyaCFHFuE5pMI3ZLmkR7aRZgSh4UL6n/DrXzSXROT4WVnxOAKyD8EjHk6loVcgX
uuwtZl8yhkUrG0AuREFthAs/dUZJgNw0PpAkFUQKxA7jlAB9YGLifCVOID1Qjv14JsklBk2qJO2d
nkY72EddECe2CGfy8nwv7r8x1U9xPBi7znKAo7QtW3tmlajG7oQ1X5hqn5G51u5ERcpo3pzxGReH
Rpuu4mG+VZc6ZGq+YNV0TnXr7RW0behjFrGdhP4j98SMxMm5wcsKRloGJ7xuI/67nzI5YHy6n+rE
+hsdJD/5ZjtlwZSxMACyAwLY8ct2ytDIIgE+9Ffm87+3Uyi0Xzfz7HHk3OOX7RQNXB0/kKMiO/zP
4JBMJH85NfGbXBWtAzZe9nSO/Ci/bqe8SGES57rNVTWn9VZb7A6dGzGNxVw9pp3hhsA+NDykJCcW
uQMHwBoOraURnKyiqC/L6TgVg+GzrSDbVxX7uI5DBlNowzok83XFME9GoWdO9ucUdWSajIjdxgpj
UzEQCOaAaqBVtnjXKBUfrI7gi3Yy8C1BzqBR9BDHQ41J5jHKjHuW4erKkREftQz7EDL2Q4UlcSwL
BDRmzMze825YjWd/5skng0VsY52XgSSuPQaNU9bMy1adq1Dp51s2KlezfJEgeQA45001250lX7WR
d650urtEvoSgzC97+VrGg7HLVS8JIt7YRb66dRyPoSNfZ4P3Ok7bOzIOt8SiEd1E9lbfdelhpBZo
WuIE0zzRsGk3urty6nmtHXO5h1irbWammJuik+mf6230WnFk7XFkFSpSYklKCpPXpEdPVqqMkrVS
ujJZw1JZzShJu0nWt1ZWOkXWPE1WP7EaW0E5NGRdZCqNhkh6/imZ5Krd1v13nULq8OuErKyprLGJ
1r8kojKJ8aT+mhTiTFZkAA0IOm2CaGS1XmTdtingLoUc7kt93ZbaZStrvCqrfSrrPg4Wfbfq+r0p
14R89DYui0QjVwv2Qvtcrh82C4kqVxSXHXvEEtPXw/XEkjMUhN2zBNVyLdKs9NGTq1Ml16lIrlge
S9fKEra0y5POksYW4asp17jSGG/ZzKCjZ/njynM4syCOcmUkz8DwW21BncqqGbF8enIdHY3uT02u
rGhy9UMqvR+JUjph6wCcCpeqb1lKkVbhFemysTnHo+IcG+kkmV9NJc6rwcRogE7C0GHz407H0TJ8
N3K2XTPvJeBpsQzyWKPu2TMhPiOTxArScAkG943I991EQ09Y3GKXvDWlTNYHo6k139SxHRqNc+e2
9mnQlh9F0gJQzq3bIkrik72O4VqOZz2ZNhqs5ZAp2yrVEd+ztfEOQ+18hxYIQdwlocYavZ68lf4G
4R+3uLuMMGRsgEU0x9phU8v0nVxouDQ1Rsoodokwmhd+Yh5rSI3xwug7+lk00TUCNoFdcFCvxkTU
gS0AK0ZrcWp1cgRX1W73sUBzieTSiarjlOkAuhDTZg1JibY9DBeJqSA/hl36Q1Wj/L5WzQZZqguc
QisShMX/XZ3+IdSn5/jB6pS89MPLb1YmfurNykSiJtms7GpVz8FE/m9rmvEHolWZjWGpzCOlDuef
K5Op/aG5DMVpMMFQdF+xV/886JsqGGS0Yv9Q7ktJ13/CtrLedbJYmYjn5LewQloGXjhP9vvedDx1
efGmaItrlbpFsh8KHM2cvgBbindDq1w1CWYptlmXeUG2Xre4+3aJG9S/xAOOs4tCToIycPfm5GJV
GuzVxfAgl8dUbtfYu4XY2kMUlrO2nzhSlSVqnQnFOwP3594iYBEpJOChJOxndqBOdrkM4gfm3nDC
mT0oyI4XraHsmd9sQFXx4qXIpfC5K2kp9lnT7TvPI0AhJqzB2q56FhKbmxDGOF7YoGId3G+TjqBv
6cwUfK3+UoBOBvT1lKijtXWiSAChQh7aoU0LPAtUkGn3R2tGB+5GzWnQYQQZWZgn2V00EtdMrhGa
sYYUTVLD/N5ttri51X3JhzsZEAaC1Z14MSut8qlvV55RfNdTqE4L/HU/jTlqKEt03xU1r7mYN2o1
KRST7DI353qTxnoeVmNTBEnjQMudyfdwFjfMleWYWAMkqKl44PCnHMsW47xb3yTkpPiV6x01ZMU+
mq5Lr9LvW056tGxusLwpoZCAHpgYO3V1f2qKBEbp1c2c0MchH+Y5yzT87A11KUJiJQqjDBbbuF/L
9Dmv2s1UUM+JRALdkqYX9IlOWav+7PvV3iP8JxQpFUuY9DZiuci4EUPymGR8/hjEAThFaIN2Y9Jx
AdnTVIZJ/JX4UWf5AYHOZoqJ2UgREC+DRn8k5Trq3DNz8yp2NMkTmd63c2fOQe02KIUNsYtjZnJt
NSz+gK5wM2X8XEG6AmeG3NyVtbiqaxdGTsT33tOq0OYW0XrzrIn0AqD8RZd66UHBUxFYNgujqaNo
8/pFxxFs4JMeml1k1Ocq8S6QhDlsWXqcDX2Kp7x+brM23bYFqjaRdpvZrLCI8UERBTHdL8Z9q6nX
ut4HjTWVtCCiUxeLQ181D0IZd3VfEZ9Ub8m681AbpWSZ96MXmjJV0y5QMLvq+LS26Y9+1LFDzzs8
yQtUoJbUWltKgPmrFue6bqchgA5w5+bFdlCPLT3m8TIi7GBRPSwI1ZVmVdf6iL7bWq8UAZlqXMhK
k1tHIWh/1MlKI4aGns3+hgc0jQJiYiOaWTa3nF+K+KcJkMKXdJHwpZXq+DPJ53wzlwZycmkOM/L+
zzmDQlO7P51sFoiP24wujefttMo6JBouhpUMMA5WOAd94m4xNCgz29XZiAKUWtADFJfzO/yreE6G
Yx3l2bYcTbJqgB6JJP9eG+MTHM9vZPllyNlQXMbGdL0IGllZao/BMhDTQDkacd6ISic5Iy6GE7WH
bZvbcO6c21b3q3I4WBV+uq0BmMp6GNXcdXcJFIKdMJeGd6mtNFSkRB2Q9x3PWuhWikn27IiZaU/O
0YI1wyC6/Exq2SLuPLXUhrvJ6xTjJGaB1MAiG++pW019vMqHZl/HbP6aDCNjbeYmERJW7Lfq+qJ1
8W1PQCHZIvPRNCux7ZRu3rmKfbKcmbRCgIjo3O1vxGT0+CJtErwy8ylXbDT0I3w2TV3to1HzMOeV
C2acKEr6KfXXJjJfiAwkdMHFpIPm/ufgJXQGCBCknTPBF1NHpJEDLqYlny+Xpt/MqcfAsVEuzaq7
USJxKt36K/0Z4tcwusxLRtIXPLy4sYqgN+YjUClLnUBOOc1Lmte3tgyVHHQrCWlCs5sbcHbo2Tnq
vQslW56LRP+5aiq/JbZ+5mP5BUDnRlmP+jJnG9MC9BZ3t7lsIauJCmhsMxMklziXal5g1ZjrF/Qy
h4Qws4CcVYJRiRvzeRjPtpNjCLI8TiKKckNjXd9MjrXiRxWXSKsw785RwF1o9k5FT6yHA7czzJHa
bjbA4VInXOkXQbVT7od8s1rxo94RxOjibtgkCmcqN/cmLt4J38u9vbEiQV7nAsLGlAJ1c3HclnMD
j6SeLhp3QDvujgi2NecqnapLOhEl0q/oyoOt15c9e7PhxfamJSSA+G7h5MMOktNZ5LGAkHf3EAnR
b8RUPdIlP2ZKzmcU6xNyfvxnwjZ5BsikAqKrBF09/Og974ECvVUb2O9lMvh6bOyZvT4A3dopKfEu
eGcOnOeuR7e59az6z5SFzudgezZV0HUW791IH3oXrVoXWGp3iJWRJWGYYp8gUSgweX7wrEXyEIng
cvV211vpFKRmj99JXLMT2Vb68GUstX2TE29kCrwpizDnMFfLMVQ1t6VjGTF0i/lfh6PKxs6xXSiK
trPpyR0GbmjQ46FTmz4DyjQcBenLfmvT0+rnB/xpKvxEFkFKFliONd4pk3YqKs8Olom9dcebdoo1
/drWyMBS+qb1h0otCRgpDCnV1MDctVGQOQai0/Q6ERkO+BoLUsU4gCJHgbOm/VrqvBKWe613KDld
zSDDqZ6/gcp/RPFx1VfON/Tb32Zb3Ta9/VTn8VMdN/ZmMNJDVDZPau3uDbO7m/AfowQGA7jkBEUT
zNJNLzItSTj6Dy9fj7FIb1bNaYmuVu8qUxZxxdpS65P/NoX+QcWWBNgPtt3pj+63xlh+6l/bbvUP
aK3svGUiLkCztw0h7Q++Zf3VK0KWhhy9/dUQ8v4Ag+2SUwdAyDB+Qcp6f/BLoDhIkwnULwZi7xCy
HyFlMeC+bwiZDr5dfpeFzVYnMuTXbfdqJGWi16l6Zbh4GaJyheuqfa3j76pH84fBTGdXF6k7Cj+d
PP1iavj3TneubK26Em2zxQx3WwhAgf0aqIsy7/o8eao6a9fSdDAqlyQphh6986zZJja8eQhXJz8N
ltP/b/bOq7eNbU3af2Vj7lvoHC5mgGESlbMt+aZBS3TnnPvXf89S2FagfY4PBQw/YHMuZmbLalKL
K7yrqt4qKhr6xlWvucn79Jr8iGKCEU88LQpoLznI79wQzMBQj4yByCSlWI0+F/1wvFV1Ce+UvqYU
BbLtQ4s0smBZ4W0xCdPxlqCpZedHAd2rtTA+uCNA9Ga0s2MnLG5pOk4mkaH+kNj1irL5Qr8YFomN
sSgdaTFa43ngUGPyl+3nDnYwlFYQKbU50VxOPMvtDuoAhkBik/JSfd8qIDqq1qautb8UHReTnGDU
g7GJlEnn6kehHGP/10lLswuAaRDFLhsJ51Id5aHSEpFnXnZ5c0noXXkTG8MqzkFlzMI+9Hz5q0xS
ny0MqHO5P/Gi3Jh0Hh24Rpgu61YKp33THOl6dWA6ItbKNQ4H5QHT1G+e29wMMJN0sEQ4jtod/bL0
dMQwVLGlrzULCAbTuptHO/JOJtdKoj2/rjwCs7rWBGQblmE17NMbMM8JFm8qxszzYh3HPy80S1wm
6rY8rXvCoOauFWb7tQFDg3loQE+Dnsv1QWbDdNYWyVqKWuN5WWRySd0W6MjTq4pKeRW3BZ5RtaHW
7NF4Ek16WAtd+OzQ+RMTqucB3XNsOoSuFoAymXaf+mVBxxgIhKZLZHmoGf9XhwnoWN3T0Ap3EBU/
BPZJ6Q4HhiPFxFIGWqMNus3GfDiyNOtU8lVSrNScZ2C0nkn+bdzrd6ndk6nWt1cAND4BMFgi6YXx
EObVD0qG9VhjLtBa8RfP1JkKmnaCYhxaExPmMpWCedjV2lw32vNe1egIcaKl7pd3dmTUCzJ347nh
2ndDDdWQ65jzmlb3gHeECMXuemYO9wZ85+ypjNXUSexJp95d3BJk7x2mffig98A5CfMFohGY9MhM
0/0wyy9ajbspNfFNrtO4YGaecLGdWDrWHZ5sfnVJxN43+C82vRLeWFwEbjwddKki7PAuNYyKZGic
w3C4H4MZjyL90opmEgYf4DaU5JJPd2TZEx/W8Y3j03vZDJl3EPm+yCg8Hcv8sE/zH5jWkWyrt1xm
iyEq7/+Bc57gHHD3350rVRQMWbMB0OH3/j5ZlD3yXoSBAoEKKvEvbwAdS0E08Xx6CD7hBdDBoEim
U0kGB4CieHRj+AnoOELlgcG4LgstiPUnJ4vyqO78KQUSgA78B0eYcG8w+SjvAB0aaWn4K83svC9l
CreWPEU919Ej6d3St6hwMSzrJ43ccfZohnwkxwlghRlY0UHMtncbJG51Ap0Cn6VpxVVIQbo0+qY6
7SI3f8hr0fgesz35sTWAiiv42eZ4sUBOAC6cV2VSnxUh3XGSbOJMQIOpTRehEs/G1E1PIy93HmzJ
v4TqJslOwR1axeRwf7TN5Ka2B4MlCCdAtF9zUle+dUDfE679ViNFC8UYsi804WH0olXqmm7o+NaQ
43TpGRVLOXerVas58tyX7QDnQKfbt8KuPMIpPL/oAG5j0qzhtL181naKTka2RLbgfVZhR3ikpO44
0LubRQ2N3HUjrXXPCf1TkpmJtSzcKi3PLB8YwvKU3r/yQ4fbQ9fQ2jtS3Frdqe3A8ExkT4eYWJDj
bFvE4rR0Sc8MbqfBkSmlwDBBEw/fQ4JOSZcna55u9v7O7GJtReSFkdEyRgwppCVHSmMOV3WXjSuh
z6EbTw1k+qA4VwJPcfbdvPW+M5OCKRmJ48qt/HFtBv1tKRWL1AsOJQtuIFG4K3cGsdZS3tGcbCvN
sB/RnUwpXQ/HUdbnSBicCB4nyfDvDjovoI2vxsIR5QWATVR81a0A6sZRbjQK/2Uu4dvqy107MeyS
9smwMq9sei4Paql2bnK5ME97p5BnnCaODFlsZNduJZN60MbOd8nqpEM8Jq1J3idnoa1Is7Ju+/1W
giead3FR1LPeDXLitLLqgOTZ9BJUteL+OZrfPOrp2ehY4U0PXHBshXp4gsA1vMNVIZt2ozBXjsbs
bmx66YjJS+KvlXZnmES5t/aYdDdpWMLAZD2mT0Gfn/ttXE5TGovjWarr9OBVla7MMcnzCYDsjWrm
ldw8yN01zKXaUtbTBqzHRJr3nXYBe2d7EzkzlXWe5eOiEFY7DncGcu9pU/pnL37ci4VG8dd78fXa
X21Kvha/9Won1nRgdRRxmLs+hib8bX4joHX6qQXZSqUvyu+XnVje0+F1bRvEHW9XnBV+kr6U/8RG
WGKntvgl9u8/qPENRahx3+7EJqmS4r3osYX5fLcTpzGbdMzHOGsdP6pmoabdeIa8DNNUOmxiD1Mw
fZwa4i7uts1B3w0KVC9uF0rrHNZGZE5zQPKFF+I1IGXoEsKEm6QSxHR1JvOwye89tVdQEtVNj+DB
zBpppknNlwojhMshCbt9szRdmKABLVZvwQNiVZPTCHuCYVAzMTyVVhtL+V671Q/Zbepl3qWnpRoq
0I5ZFc0BVy4Hpb/gQm9eFNQ1qL06otXiFCkr+/UkdgSf24D2D/QXIYFJ5nYfLUKvkZZKaLnzEMJr
YjfBg5KqfTOrWu41NS6NS7MiQhd9kDupNTobIzdVzlw1RM3bpPw330mXFuYXk5y3H4M4nZSk5PAu
QQkO7GCcownIQesorFELZj41kbqsS+juOlVXNX3kR6bn5niztgYAQXiZGZVwvj1qJRlltKnRN5sU
w/4ofB3Lhoi2BuSi9E2EirZ0k4/VlVOWeGTK9oFRjOdlFw0zOJmvKL3uszI7LbAhmJSKf0hyyDkJ
QtdeizVI15VYpzk/ylw/kBvnxKg6KNpKMqdKqltIqLLbsIsPzTS468OavAZH+tF7Nv30tbMI4vab
kTrrPLWKA0VHqxKmtQ3+y7C0MZuy5nv+cRB0OIBiu0HST3ZuD+EXxGrJpEu4i8Sp0c8l28GNkxjd
yVhVX822usNvdZrpajaPMCwhmzdAwRgXXzLq5UUio5bqbdObVXJ/nfHVx4+4atDK9ZwII4zQMIeb
enpzngsgVhaQbAk2q+f1bQtWm3AdW7ia8pALGJfQjvowdVVc8oB4MYZvF6aAffEJ8Xh7td9vZK67
8iM+HAioONe1A0mAx56dhFPNzlgIIMsDCLMO0qwJyNlxO2uuhFU0a8zqR5eCyVTykExZ+/k0F7B1
MFoT03dxeIMNAjZkjbh9FpNMC+DtKsWUc0fDCaLd91pAcd/uzzRQchW0nATjMzOyDyRQ9EY9QHzn
dicOz8RZ6ioXgLsJ8h4l5lfLSc6gRGIkceEwc0HpI1qDMRJaV2l9SzM/DnF9TbN8mDvzynLKaUYO
E/4/MOxRfqKqzX4lJTcVvEBUeMc18dJLBcYgIFdChUHQm46rriAVyr4/S2IVu1o5vvMhIAyT0sOU
O+sgLKxj1UlOA8iKWLAWiGdV1JfRKHhf0hd82A0ojuCggfBQIT7QU93FggmxBSdiQo7olvG1Kasz
VbAmfpQ5s14wKXR0474k2BVf8CxSU+97mP5OyJEjQRoypjPdr6NgZ7AEqogpwD9KMDdAXzTi1fEs
h9hxx3JdCKaH7F8hklWXsmCBfMEHOQzrtIUiUqGK6o7sR02wR21Y6fS2l+YyglqinfJIh2oKfB+n
QME+xdBQMnTUCC3lQgrhiQRTVdALzo1YuSS5hyoAANzT0gtV8FvkQHNBavbxEh6gi2yXXtv2ooQU
cyHHWr/iGinYMrwYA8GfuVZyEUOo9VYgHfpQbIHg2uS6PzQh31ovhm/qVWMaFnE8NdMumseCrRtl
/4R8DhQJLjnKUhn/8Eb3mmgy1IIKl05N8H69Hz6UOaVuRpEtC24QYEidpoIv7DxpXNZQiJYAOcdi
vBgEuygJnjFyvKseH8BGEJAQkbh5tQs9Lw8RMvmcAr4HYANvqXUmvhkmtoj4Ld4m3AeJ+VwVVR/s
94L3tCFAzSa5USFERwtzQyrJud7qixLKtM3sowAKNaxcnLWYRFRSJiZZEK2DpdyPEK+Gx57dQ8Wa
XHtJ11rDo53UULX4Y8wtwd1WA7GPkLkZKTPkuOB/Ac2L7mFpQfvKXr3QWyYBsSXs3DkOm6DqhuCK
+8G6xnzzZNSNdVSzUQaamc1R8ixZ3P2khnJWEDBgaOWclQ6YsAotHTNvyd3B/9MScGqr0n9P5j1O
iKSKWyNxPoO34uws51ngN/RkI9uTNc08s21UuxTZ6n5ZlbdBpFwZaRNPs9G5Uaz6LsQbZ1KyL0wq
OOdJbNG87fYKhLL9HQiq3y+dkhD67HsZEi+U2tlDhRyDkAwUGKmv4ZYdhcbMxbedM4+QHX7W5RiU
OSSoA9qgL5GyuZM0D64Z5eyixYPmp2dh6FRoGl1Ul617ouBlNdG9gbbcDAdwr691rMoaxGA1O5hr
G7QkyqyyPIBbRkWWNd5yIN51brFPSi4+6FJ6NWSjTzpT+C2ysJiihAVopC3UJegkpFdndNsrxcgV
lNKFdThK1kFe+xzFKSJ3QCoL3fw4wAkq1Rmq+pk3JD/oyM4wFEfGhfEU0WnesawFOFXV+Q9bSmFk
dOeuIzV4LhU4naDsWUU+Jms51nYy+RwXpZ2esJtXjnuit/6+H+CTjGUStADJHU5xmsV4cpmTMpAB
wkI88EcYBafwn/rV/hFQGpSVv6mjG3pR1h8RDfFbL3U08ZAEfrAMMFJUnirilzoaf0kwakLZDMcx
5UeF5AtWbu6Re2tRLBvyi3rlpRfF2ENIQgVEVc7KN2mZ+YM6WrUFFv66juaNQUxkPgO4CXFvgDGv
JSpY5ctFCrt/OsYZmxHxOFzO6JmMuEvKLfFbZSxI/2A6ZO5JUNrdzFC6alqm7Tk+jQcW6stJxTV8
4mDSUknBEQTRyWCRH5NhAizL0UMLUTqVshaHFgkrU7dTT7JRxPfIpjdNKiHblL+yN35TK/3WKTza
VXyHuieWIQylcRHrkjQvOh90tGRH8iQijfPwC90o3/Ihu2n9AFFfXeGnZJpfyqI+SNF91o701U0J
FCMJBcvXkzbyj8Fyv1WZnZBTaJ3DPt/HZCnOE/4w9ICBuQ/4SpNhdpcMuHWRU4PIpoaFKuKOXJru
ZlAxn/DqbqHr+MKqoYafRUcxFEn2Q+G3xoze4+Oqjq+7dKQjzDPmRmRfZoHzQJfCOWAycc/Ie8Ax
wnrudsAaeXsrR+m9W2d3bqGeVVl6DzqGG2xUevMm7ditreQcVGcZ4C2lh963WMWdL49t/H7MSGyD
2X2nOHB7Qz1LhhJ7MkzksVJLKHkLtkYgseO6wjpSd7EaASfiRFoMuCPLZXfoOc5SBEINY/sj0MM1
0cbXGhlqrjbeJt6YzChITylfp45cgtN3FibycljQoVSYFxS/J77T/yBLIJuRTUGXiStPmzKsJoms
ftU941KvBxeiIbrWPfVHo5rtwRCIX8dobkEG5m0iNcsq8wF6DXPR1MRbcVEKuWzFd5hQRws1b1AG
GvIkQLWLj1RtTGQdKHeMFrKFcxVQxH5R+xh5RpgaNjnfGrJ5bPsMc9boVFAFqWNmUGEDXeVHgZsU
h8LLDNtSrAyNbry0MIvqUhIWCr2Y6qML/xFxC6I4AdAZK7x0GmacAbYytUcm8VDxHSZq7s27crwi
qo93TW1iqtqFKzdXo60dBh0qJEvlVlUVrjfzYuSqBJ3d11l/a6dBPbHM/LusZOUkzdxp2fU0gcgB
btQlkmDJX8qpFM4kC5djWc72zUHeV2Sin4n7c5YkcAwTrbXXSVgcQ5u3ExjffI5j44HpDcNMbVAj
e0l/g9klTtN0izAbE0z36+8VF8mpXComXmt0jiS9qR7paURZBr3nHcSq42uzKOq+qjYuhfNSqvzg
C8Pg1mdqbWHmbAaGtjDdRE6vLeyUsple56M2ITJdWFnZiXXOIRmY50NB4pNW9N4dVnjzKmYKTXRf
d09zXAlpWhJFE7A8AQK+RRXmF7IIvzP6C9IID2nKCbR5b7UaNmR2PM64PFXFQWPJRNkVATFNU+Tf
cTKrBo2OuZjOHrMv9uVQU2+jjsvPSYyDKvtM7CNJNq172WuakLvpUMKboMp1Roon3SjmQaBa3rVc
W3F1p7qth1JBG0nLKOTEdL+RtefrJ7JaJhL38L7J/6GWn6hl47fU8hfymZtN3LL4tb/PS3vP1ARp
C+hAE7/9igF4PC9F8pRBDPNTEMHLeanvObKiovbUHdjOxxaFl/NS28OIUzXBnETogPjRH5yX4jR8
fVoKS2Qh/YfhVgyH6uvtadnLROiWZcppKQ4G8H74XhR8yRMu+UsvIEX+AG9h66giNiJmCwpb1t8d
ywqdBYUZ6vmp3BjODZbF4ByJFQ/jEkTMoOat00Y/ILhtvKLdB4EgHo5fQ9vy7vIstA9LtJxHiiWA
Zqs0+nN/0C61IWsRjwyeVR21UVhp31o2chspddG2iKMxPWv1NpiYkRSTzh4TbBDkeabOsy5uELhL
5DNOgspNqfAHZ27YYynPqvTeiPXu1NLz+ExvkNFMlTyKcQBze20aQ7FLsbBz5jaTaWdyK2ye2zg8
K4Xzc5JjueU755oirw28odPCW4BpX1v4Kqd4RxvCRFpFZEh7RTB3IHSdBKlbcuAOQ4FzLxlNFTbU
8VD88G3/Eg//UwWb6kZrr2LhsdbR+nlnRcD1wqDnRLLyko5BwzyMAwcOP6ELYVRxHJAk7YceVmja
XZ8U7Lqgzb0l1jqIJYyvO/sEcve0Smm05MrC5SEY1f06tW4GRbrFD6uYYQJHn0Vdeyo0O5EJTAsX
FgL1wRwlMo+gm0uJzPKm1GtCs0079S8rZPh4ZSsldL/c3+oxXjMWSBLCgqgpZ7pUIlKkm6Iwa2IN
JEU5fVWqnj9N2te5uOoHlQRwLKQZIBqVpqhO387lYigLzyNq4rSaJyvugsoVMQkTtKrTepmSj4Rz
kDeHj5qXczwZDvWFNqffcBr9i7lusKJfrSk6hPBxoqR1TEMUu4r9zokEc8qu8So/O3VV73CI/X4a
4aI7yTsdKZgVOfOidZE0qiYHmmvLJ55VuocK35EZFehpLdxFXJmiUR2/1X3mLCqV5uG6zheuPX6z
DPxFQxdqnTScr0WMglEti2FqVTTScplGyuUDbxh+P0davd8piLTccVrototUxFmOGtCoqu5jMapM
ihqyPnD0KW3FyxCBboZkaZLJ+bzrvGOVhgxEhHTDtERjJklIf3NbnHZc8PcLDzc+PMluvC5bIo46
aXpbJmEn35cjJprlFKgz5fDq91/x203k2UhBRnyuO+TPa867TcQZ4cHyxC1P5TYJ99kIaDYv5RR5
tz83MsQbevGvTFc3u2i8es9336bUQzG2kVedFp52Z7iIDRsPOKeylnrSkG3gIoA0afG2UEIYcUXv
sJ4OxyM2xHSpG8dZYN/KAdQfLTA/OKsXOa2EamZeyO54b3jFt6TD57IgpP7JneSfK6xol/v1FfYO
FeSGCyy/83IgY6bAuiQ4XCGpm1xG7RUlr+5BEXFHpctBZjPh2vtyINt7EPI6gi7FZvdmh/lJBNl7
mqLRm4FxG9yN4Pj/4ECG63mzfUDJg0SbOjAT+wgthe97LEg6CdNYDbESr7mKIiCla6e8rtXEn4Yq
16JRSbPrgJA/Ktkkuaoal0ACWWmWzegqU4XWUs/J3HpS6NqpyG2YUzOj6bVCmpDheGtVNo/8ov3u
NF1+nQ1ZNY+KuD93PC+fkulpTZ3Gza71qj0pZWrPOkUXHvhoWr0Ca5su9S4Rb6X7DU7Fc691lVml
KDcJMQXLOEZ2H7I7EK93oA32tVc0WJ7o5DObbCFncdAnU+6DpAiY3dLp7C/pqAY3hU5onK8O6aIe
HRwCIg5RhSE4w9LHXfRy7SwRO4OKdpjH1ImTLLvccmaxpzlL/HRxGPWs24wwEqQLIaRXkxw30DWR
I9111D6TOmumTmaQmeLnh3KjzyPLk+eq1x5GpURUsP2F0TzJMigguea4yoBACRzzvxmtvupNhzDE
LvvqFdFXIS2d575HsI8XXNV6RQ9fLCE2SulCNz1vGY2c9JKZrDXPjyd9ah6axOYAT8KCOUaIiSpR
Ywvf7chJN8Y7vmjizs38KpPcUx2230YjpxF2zF+iPbhDdU5TQXuMFJ2mxxory6KzT5HHgvK546mR
8ZXWeT8jCg/OQfuuauXXsYvuJRcn68z3D6O4PzM7wD4QyhpzC5hnqVMPcH3GX7JBs9R5zhl9RfVU
TXR4NvM46xO64rGcmhiKf5d744Wuo5ArLJS0/SjRJRphPAyEPTXtIrLPtIHLyndZxSn3wOJiPrfo
gkP+NQK8I2WfkV5eTXzLWEtVtAgaG32dNCweRW0Y7Rpg6/Fhi78H3ShQYmqiHGsWsW6xULK7ssKJ
bdjB/mBEc7vA6JU2QvWyNIx22tolDf5ehDtEruP5HAzzAOH9PAudBSANl+loZJAp7w4wnsMPyohw
fGWBT3GiXmpefhmnKQ4egX7Q206FfiGRr1PfRXKlk4SVpbQvGdij48aSzFS3m466nE60wV0Pg7oM
JNs4iAzjuqxduLW0npKpNbUs51SvSMrpdMOcJF0j00VvHkh2qZ9Z9QBhiRBimisBmeulftVGWTZ1
a+OYwDki5mjDnMqScVgiPTlUhuyo0GPloMgCvqUa50XttlLcM6nzFigY+gVQDS1XZRBNnaQkwwqk
GDR4Zhfxdz82FnaWs9RZJnlu9Qxs8i33q8Pe6vKDSLLsWRwoypnf5RoYBQoboFSUbDqAfGO7p20h
Zbicm3N1cEYoFUISNUoEbEP6i0GpEC3SmHpYDCMpE6rqLuWi1ud2len7g+c6M1kqqoO8SI8QSBJM
4TXaIT0/IzHkirSvZ7imZ0V+YUqg5GM0HJLfdJtLiXauhng7s/vR8RPoztTHxEIClPJ6D1PEML8r
rND7UaU4Xvgs4wsrDNcYvNZ0bzgaVNrjsfH/wfn5/BGFXdA8rYN6uGjW5XC5rsAh/tYNi5+eZ0SM
XGf/2T96OaM2P+jZp+h6yPEpWj3QxT0LqroM7mvORK69fKqDh//+r+dbMpX2mxP58YM9furfPide
8ZzmgXegT5GKXRjOm2RP8eJ4jTPER08/lhRV3XN0EbBnPr3XqzH61Sj8/g98Gs7f/5vffvj3gwBu
veUgaNaepukkD4KgP764WLwdBGWPyzDZBeL2zIDv3iCItMLtZoJGNSWqL7CC9389cwS2k+FxZPHa
1YmgvceM/ng1aPqeMHuk0tQe/1KZEvXNRICDUVkOGDjv6DwQDmBbzgNoJtHyYMjaLxYDUZ0MEb5m
LJP/+8Xwelc04L/+g7+fL/nvDZG9gOuGifj3abKL2f52Cjh79MyB2nGNeXztwiBsOBvE3N1yJth7
tMSroKHQh+LFu7wZCqLcYUYcoWDe0UH4YFvz51uCKZYDvKbyfEB+OBvQjCMe5GK7q4Mgv5dw/vkg
AKU7dFsp4D+Pr/eDAKAO9GYZhvW0B+/eASnQhi2Xg+Df2f1hBp6Ww/udgeWg2YQY2wLK+r/fGD/s
CeK7+4RBgDCxAU+eT4cN9aJK2KMlGhp2cAwAoJ4+2BOD8ncN/ic1s4baQmHTA4zavBoE0MUZQpz1
rpZK8valkoMzKls/e8LTavhwOIheGhswbWdrZoEybr0lgD86Jv4vv5gJyNhtxbEU4D7x2tn58B7a
/U+OCAggh35c6xdDoe4pmm4bMLG7ujM8HeBb7AwYAlmCA1PFSIjXh91RZ9XoGrvjzm6PfOQtF4W9
R7o9rcfPJ4Q4dN6XjcwRhblg7vSiMLaeD5wUXBMM5Hq/qqA5KehvsemN2dFFIXpytpwPHJemTGWE
R9bjiz/1/XzghzRc2k9Hyc5ukk8b1xb7g4YaE6UlE+L57vh+aYg62kYbbouUhd0sn7YvIZkPUH0K
SZfvJwJHBBJX3BZ2dXcUBuzbrQYBuIoYVIRE7/96wCcs4XHFeT48dnQGKE/rc5tloNLBhz0equPN
O4JisGXQMYvd3U6fEOr2hyVltImhH2EBm4eCuwQ6epDnnYUXlO3LaFIRZJVNAf+Fp9e7paEIJMox
TUD4XV0U28MLxh6JQuJS+TTnNwGPosJWoGt2dRC2rxXMPf488AMdJPfx9X4mgL7yM27WOzsI21+l
nD3uCBh/wbg8vlhgbwsmODnFULBAeqpQdw9tw4h7+3OSyhlrS1w+H18bqkaTH+sQEbu6HLY/HXQ8
sFSMDF+Wwwfc1d4jggbejtkiXrtaOgvT3O3qJk2jZuDOiJvL08bwYSisPQx3QeF3dhCegY9tCifI
CFOlPIade/m+3+4M+KmZoCxwUzu6KEQ85pYz4TFeiSHA83jjIHCJIjnWQllPR5p47ehQCCnjlkNh
7+ka1njQkU9D8WGTpNJWDFNnRuzoIDxD5NssCgGy8C1b1vNtgk3w7aKgcQMdsaYJOI4B373jUt9+
e7Soi2RuzuavagbuERitAM8+vdfuDcIza7bFTAB+hZsTDajPXO2HK7a8Z9CpoFNE7+pM2LpwQsdD
BwZ6StqUNm6PKLpoNwJr21nWXjSYbL0xku4C0PIMpXwA4jkjVFh7cNldPR3U7e8R5p5pPbWr/eJ0
UPZoiAV73lmyVoBk288EzkedG+MvBkElqUFIHO1dBR1FEPzWg8BUF+Xzs3ThQ53A6SBMAAgDfHrt
6PaobY812VglIGbRES49vqgJ3lYL4hAR/wMWI167eqUSXsRbzgrqZM2kOxT/5c1DIaP9FaYSIgiL
99q9mkHYwm05CBqqHtmg6+dpe/gIuyEORgAH4LSrJ4X2VMxsUTjBSwn/bUQtv4DdQKExwJbhLZ42
5N2bCR98Cv9YwQAzA99gArj8gpyjcEL1wxAoTxfPnd0Ztq8cHq+NlgFJ8253RACt4OOIQvp5puzq
xrB94WBB1MmyBefwtDuy/N8eFKJnUaaDX9vZjWF7gAHNI1JwHSv9p+1xQ+GgOsD1jrPb3P0H+6U/
3h7YI+kKEEv/F/JPcaUgxwDqflcvl8LpesvT0qBYVk0ISZaGeH3AWpCEc5IifdzVRfEsR9zitBQq
L004d7xoYDfsDCSImtiI7+xMePp2thgE+iQAFWmsfDkIPtTRnJYqPVPOc3/W7pUM+vYVtC6OANEK
84uSgT2BCECKBnSwj68dPS71rUtIqifE/5QG2O08vjaQltQNMgGKu1pCCg+eLbdHoGgsh2iZeZ4P
78sn6mhToHO7q+b4YLz05wclGlfUfJr8KyXw40EJ1mDKuwpFf3C6+PNBoGPGQs4CrvS+bOT0wKJT
Qev1728G/8bm+XeD8tQP4ofH1mQsjTd1MP/qH7z05H78+avG48cWuzf/UrQqP735U2eu+P//523n
8iNy8OqnL0jC4zs9//7zn/jxzd+82cvf9fIfl4RMrcp7f3j8wfD8QU9XCb3N/xvzvx5WrxsERdu0
4Ipe/tvmNuu/N4HfPx0H1/XLg372ZItuq59/6sce7n/v4cnqIStfHvTq4cyZrR8+aep60wdnx976
2dNVvGr5SqqXZ7367Jwx2z8/i5vqw1fK3QPK4BMentbl6q9ptjEuWKzkrd9ito7/Os3KjePPubj1
8+fxX7OsZPK8POvV+FOhbf38RYlN+qaHs5Vv/fD9eJ2mL8959cE/Y7kum+R7Fj/UHx8vNL1bf/SD
JF+XwSp+edTPTy/ksts/Ph02DLpQXm796KN1uWHMBUG6/aOD1NuwESifsVaPV9GGPUzI5rf+2Mer
qlpvGpPPWKDHWfXX/6beOl5vGpnPWKInqwc24JdxeDURP2OJnqzKYNPQfMYSFc/Os027uxANbf21
nqzTh+w+2LR7CRHKJzy/vF8/vDzo57iLVq/tH57x2V+e8+rZn7FMT7KNY/IZq5RH1+tyPWz45J+x
Uk9X+YaJLi6YWw/46bpdfawdSfP9jCV6Vq7YAl4+5auv8zOW6Hm8ul9vqB0FIrf1sJzHTbKpuBNs
5NYPvwwoHavgYcPICKJv6+dfre5LrgRpveEsFczyJ7xB+tdkjfn2pjf4jKV6tRJvUKar8mHjRiYs
cD7lr5gFa2/TH/EZq1b8EQtWwH1Q3W96j89YvuI9DrNV0Ww6rbTPWMPiHY6boPrr7HtQ5Zv+js9Y
zOJdTlb1etPzP2M98/x69ddkVX5fbaoZBET6GfOJ95iScLFhsxbo8Ge9Q9mMLw/7uacKC5jt38Bf
bbwTCtx0+4f/Lij70fFtC5jiKvhtWurWj8/i1abqQegEth8YCpNN6YJCOL39w+sVJpTxqqleHvZq
znzK0hUwy4ZzWMDMW3/63wYvbvulXlPj4zP48jF/jotw9t7+o/8u62brj94AECWbcDnBym792X8f
PLDth/+NhfLWj26+b9h8hcPBvxiTTbDs30qwj2Dti7vjpl97i0WLf3Efr1fl//w/AAAA//8=</cx:binary>
              </cx:geoCache>
            </cx:geography>
          </cx:layoutPr>
          <cx:valueColors>
            <cx:minColor>
              <a:schemeClr val="accent4">
                <a:lumMod val="60000"/>
                <a:lumOff val="40000"/>
              </a:schemeClr>
            </cx:minColor>
            <cx:maxColor>
              <a:schemeClr val="accent4">
                <a:lumMod val="50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solidFill>
                <a:schemeClr val="bg1"/>
              </a:solidFill>
            </a:ln>
          </cx:spPr>
        </cx:plotSurface>
        <cx:series layoutId="regionMap" uniqueId="{00000000-DFC6-4361-A8B2-CD368B8A3964}">
          <cx:tx>
            <cx:txData>
              <cx:f>_xlchart.v5.2</cx:f>
              <cx:v>Amount</cx:v>
            </cx:txData>
          </cx:tx>
          <cx:dataId val="0"/>
          <cx:layoutPr>
            <cx:geography cultureLanguage="en-US" cultureRegion="IN" attribution="Powered by Bing">
              <cx:geoCache provider="{E9337A44-BEBE-4D9F-B70C-5C5E7DAFC167}">
                <cx:binary>5F1Zc9s6sv4rqTxf+mAhCWBqzlQNSEne7cRZzwtL8UKCOwnuv/42bSdjUXKGrjp6uLpKUimbbKjJ
D2j0hu5/3nb/uI3v1+W7LolT/Y/b7s/3QVXl//jjD30b3CdrfZSo2zLT2UN1dJslf2QPD+r2/o+7
ct2q1P+DIGz+cRusy+q+e/+vf8Jo/n12nt2uK5WlH+r7sv94r+u40r+5tvPSu/VdolJX6apUtxX+
872zjtVDVqZq/X7zGvnz/c06fbcs1+mt0rfZ+3f3aaWq/lOf3//5fmMY8v7dH9Nv2+LsXQzMV/Ud
EFN2xDhCjHMunj7v38VZ6j9fNjAhRya8AotT8fNrL9cJUG5w9M7J6rTqf96xk7FHttZ3d+W91vB8
j/+/NszGM8Gb+fd/eSO/vv925GOExAd0/nz/OVXV/d27m2pd3ev375TOHhkteycbn/7zzePr+mMT
1H/9c/ILeIGT37zAffq2/9ulTWj/C+zuffzuMoOp9+sB/zbkTXzELJMxgp+RZ1PkzSOCTMpsApPq
6WufkH8TU7tR3x5iBuLbRAeG9sW6VOnfjzSsccFMi1mIPi1xPkWaHFkUc5sJuPIS6dkM7UZ5k3wG
wpsEB4buv2OQm3frveDLkckJt5/x3VrJ5IgwYsJK3oT3DRztBng6wAyIpyQHB3Ku0j1Ia8qPbEEt
G1vm7jWMxRGDj2UxcwryXI5ew3iDfhbEGxQHhvCnOovrZC8Yg5zmRJimKdDjB0/lNDqinGDMCd3E
+C087UZ5a4QZOG/RHBjS/07Wd1m5B3nNjygIY0Q4LNVNZRvBIiZEUPQ0A2ACvNyO5zO0G+QJ/QyI
JxQHBrCsq31o1lQcWZhQE70mqwk+sizTxphMAJ7N0G58N8lnwLtJcGDoHtfJjyy+q/7+BWzCMuU2
Nk1iTxeweYRtTBEoYz+t6ZcL+C0s7YZ4a4QZKG/RHBjQ4DdZN/flWv/9SIPahYVNMGHsaUsGDXoq
sW2OBKx2mAovoX4TU7ux3h5iBtjbRIeGNqhfeh9WlAB3BwAJKvYrUJMjhDi1hWlNoJ7N0Ss4b9LP
AXmT4uAQBhfeiLCu9oEzP0Kjy4tSttuSAo8npia3GJ54Q5zsbXy9hvaOUWZhvoPuwJD/VMfrch/W
s31EKcIEPevVaGpZgfVMBPjAsbVlWc3laDfakyeagfOE4sAQXsTv3KwEu2ovezUjwrbIsxdMQMBi
ulfDksewtO2f5vXLHftNrO1Ge3uIGYBvEx0Y5kuI+KT7ANw+YhTbloXxkySfAj76xLgFf/Bkx57P
0W6cJ/QzQJ5QHBjCq/g+3UfgAgxpgiwstu0s2KMFx4xaE5f2bE52A7tJPgPXTYIDg/Ukye9LtY73
IKvJEROEWybFT8o2bLsbshpbRxasbAuDn2z8TBwlb+FsN9JbI8wAe4vm0PBO+/2IaY4ILGT2HLrY
EtOjkS1sG/SvTcPqZCY/ryD8knoOui/vPzBkz+7Lfchn64iyRz/n0yLdpVaPthamBEKSL3Wtufzs
RnaDegayG/cfGLLX8fr2fj9BCi7YqC0/B6OmEhqc2LCiQX6TX8rXS4Tn87Ub4wn9DJQnFAeG8xnk
ou3DwQmWMTg3iWlav2Dc3IjFkQ3XIFQxXcJzGdqN7+bzzIB3k+DA0D1fR/twe4gjSODCDEFA8fGz
5b0mRwJb2OZs4r2ey89ubDeoZ0C7cf/BIav1/R72XohBmZAMwgU4tR4/W/IZwcLlwoS0rs2993w9
l6PX0N2gn4XvBsWBITwmwkrQr9blndqLmwNiihB3wBxcmDuRxgyclyaC3XoT6LczthvwV8aZAfwr
lAc2Ac4z/e7fqX8f3+9jgzaPkEUI5T836GnyJuZHxKSQUAJyfvxMLOU3Mrd7BuwaZAb8u8gODPuL
9R1EnvfgILGPIO4M7i3I2v0J64ZeRtARsiFMZeLJqp/P0W6sJ/QzYJ5QHBjC15Dtt5fUAnEkqM0g
XPHsvd7K2kVHsHsLC9I+N+X6fI52Izyhn4HwhOLAEB6zzvNsLzkF7AhWKKxh/qyl7Yg7CttknICO
/vjZRPotnO3GemuEGWhv0RwY3jfr2xJS8dNqH85OfmQxyNQ2ISno8bO1qvGRKcY/4DcbP5Pt+m28
7cZ8xxgzUN9BdWC4X9ynd9ntfnR0cYRH7zZjz/GM6UInFLKLmE2pmFhjb2JqN97bQ8yAe5vowND+
dB+sk/Xfr5mB4Q1BKRuU8leizpA/BOmAGPJ7n4T+ZIXP52s32hP6GVBPKA4M54v78haOeDr//QDq
m0/GUmQLm9vPqbxTwws0cJNjAXbXTkk+n6/dOE/oZ+A8oTg0nDMQ3n8/zHAMFo7bgJaN7acNeyul
Gx1ZJoFUfjxJDbuYy9Ar+G6Qz4F3g+DA0P2oIINbq7t9eMEpHKtCFqXPQcrtKCWDMCZDEOGYmNJv
Ymo3yttDzEB6m+jA0L7I9uIoBU8YnH/8JbBHVWvDZzJmeRIodADG1sTOmsnPbow3nmYGvBv3Hx6y
1X153//9gpraRzazGaPo+SjGVsADH9mWbdp0eswZ3vdsnl5FeHOEeShv0hwY0pfrfA/aNRy4IQLC
0RBvfjSP0RbKoF1DVAuBS2VzDc/lZzfCG9Qz0N24/8CQHaM2rrr39+Eegbw/DJUoIPdvKpsZnJyj
HKJcz4kIm+i+iafdEG8PMQPnbaIDA/vyvlnvpSgF7LU2YZyi5wDG1kKG/CEMZ6lMMck9mM/Rbpwn
9DNAnlAcGMJXUDbK349e/Zgfxu3XSlKwI27BUXZ76uScz9FuhCf0MxCeUBwYwqOQkvdQ6mofEtsG
EMl4nv2VBDHIAzQRQXAcerKO38bVbqR3jDED7R1UB4j4abYu6n3Vi4I92iRQ+O3xs0N0EwEpg0I8
yfaJh3N8/W9g7nXkp4PMhH5KdoDYn9dKv7v6oXS+jyVvgYpNbNicoTLg+NkKZkBqGThToH7FxI4e
kX8ja6+jv2ugmTNgF+kBzoILqGq4D/wfo9aMQeLBKzFMsMEIh4CXuWPlz2bqdeQ3h5iJ+SbR4aE9
noWHs8j7sLnB/wn5Y5Ak/FqkAx+NZ6NBV59kosB6fwtbryK+Ncg8zLfIDhJ1uS5/7Ad3cyztOpZ9
fCWSCf5SW3CIZULRi8fPlk0OCLyBvd/hPx1m9gyYEh7aHAjWeymDAWFsKBUIHhf6WmUbAsXmIPEY
NIEJ7LM5egXvTfo5QG9SHBrCT0K0rIe9OM2h9Cs20c/o5tTtBskKUIcO9LypF+ZZtM/k6hWkt59s
DtrbVIeGuLov97KRw3l5G0GJSP6UkbDtPEdHcBFEPt9tuM3m6xW8N+nnYL1JcXA460j1Wf33r+ux
eDeFouzkZ8lfMMQ2Qp2wrm0oF2tBjvhEeqv5PL2G8mSEWThPaA4N6Sxe7y2kDWdwx7DnblMc5Lcp
YDlved9mc/QKypv0czDepDg4hNNsH+mEEPA0qbAh5vlaWPsxZGabkEg+WcmQtDCPo9cQ3qCfhfAG
xYEh/AmK70NTjT0IaygXCoeswaX6bEZN81JAWI8RbTCzJv6UN7C0G+PpADNAnpIcGMrQCiRVOl7X
+zirx+DILYKiRPZr560h5onG03oM9PCX1RLextVurHeMMQPuHVSHhvhY5XkfFTIg558SAsVhn90n
W7YVJCRB5AziJFMLejZHryC9ST8H5U2KA0P4Cyylei8GFbTAAXOJotdqhT7WjYQaKDaaLOg3sLQb
4+kAM0CekhwYyt+zeB/BDmiswaAyFey/UxMKbCwGx6qhoPemsJ7LyG5gN6hnoLpx/6FBWv/YRzxj
PIyFoXYcJPo+frbKnkD9fSh5wsH9OUF2Jj+vIPuSeg6yL+//P4Ds71nceOCxrdm/f77bHd3g3t6l
Dk5g2DYEKnabwWOkAoMJBbjvilRAUfRfnfWe1K5dPO1G9SXtxjM+PeLvX8p+Gs693ozuV6s/d12t
F49NAl/0o/v91cfHh96GE9JnPXXHC/uVgHty9+d7SNel4FSE3/3qPzgOtKHlPrab+DkrNonuIcrx
53toNzhWFQOgxz0XdCsbNKf2/vkSuDoAYAZ1Thi16ZhBmkJrvODP9+ORPFjtYF2BGxvCWTZ4w3RW
j5egFwcRFpT9hZMBFA5nCvNXD8frLO79LP31Up5/fpfWyXWm0kqP1CD686f7Rn4tZMEJT4iYceCO
QaOekb/8dv1xrIUF7+B/mrzTVuoH9Ep3JnKGrjlpe7NwcUipLO1imVFSy7LqvzIyUFf75m1J+Xkl
+si1kJcsw84zV1UZnFVthmSK0gsjRKXkQ167nW4uu9LWrilK6GOY1T96kX4PlL/ok/hjZIartK9O
CSUfizwPZVj0tRQ50bLE5DxNIkv6BvusI5E5sUiq46H1Pg9Z+NXyAyazbOgcu0uuLJ9e4dZeiCI7
ZXFxElkDPRkar3TqiHCnCbqVHw0LwvMHMw8+1q1vnaa+t8r78gdXvRR6+NLpJJMRSYikJIqkbSap
S3PPQV1WOywPvrS4/ivqGtMJouCY1Fkqc81KmQS0lFVTpY7K6WWUFKdxZFLZluVD0QRYdkZWOUPM
r1RS5k7rF1eh1eSnXVJFy1p5vsuSLJJRUPqOQL53qe0MuYGoB1sW5vDASRNdNia7HRS83NxLgg/E
65EMdHkfVEhchFl8YgmDSI/k/SpINb/SqksWjLWAWh2YsvQr34mSrpWhnwayCbG9Uk3nS7tsrGOz
Y/4H5FO8GvLQl4WvYpmk1Je0bTOpEuovUB+Hx5R28cJQiqzCIB4cOpiS2p0FUyDLjhPPwy7uerSK
Ta2WJsq9pdnSeFEmFVlVGU0WKQ3PcVqcDVV4FaX4pOr9wVUJf/CG0JYhS8yFoRV1+7oPF9hj/Sqq
/XiBwoDDi8D9gpWFWFWh7cuwK+uVILqRiV/mLlJYfUxbxld1bgULUG3DY4Q8z22amEpNqfEhhsQg
mQzwpEVn21LZyF5y36icsG+57DM/XxhJjWUURerU0rpd+ST41BN9XdcoXQQG72VW5dCbRWupAtuS
fSHM01xoKn3cK9kP4ytSJP2r1Vb4OQ0UljoQ6XFfp54knZ/J2EvxlcUDXwb54EkF713S0qiPecuU
DFqzrV1Wq7soUUyikHmLxk+MY1SFy9qKF56XCtkmdi4TkZaSmjSR3AxraYQtd8s8iR27Ce0PA+4+
hF390W6TaKFJiJUTk/gyggMlx1ZUPFTp8KPCTbCsclzLWMTlhcIddWhnu3FZ2Cd233rntsGaFfdS
8yMx6i9KZJXhoqruvFVAOoylqvPbFrhigxFJLwhjqXlQrAzVf8JGi5dd4NsOasRpmhB70bY9lqKp
T6ANRi9zNgxOFfsLlabGqWGiY0Xp50aHlaP94FNShKcsTK9bph3DYBfa+stj5KzO7OZbH8X3rV2d
d6ZhyLTEocvbuj2vNUuPhahCqUoVST9C5wS+LciDs6YxH4qIEwcP8QVqEZaNYF8GnppShQOXlU7u
NNO+9JLkJAv7D5A/dF5bKnGyoKFumvBsFSncyK4JLLfrs042ijFZwu2pJrnDNLWWfQ8Q4iK5qg3/
Ju68v1BWf89NEA8c5Y3LovJMtXjdRba90BH1nUZn/hLXeIUVlUVklosm1ESyAScy1s2F5u3XGkIh
LjPMa9ExLrOEpSfcsuDOCoWyjuLGyavsrA7Rccyb1GlMbxmirLhSouplGIdIGp1wqw5KmXt2JK1G
uV5A7O+RVyfWIku7i5RUt5nJTtLa+hZ7iXWiEizDcvjR4aaUddYdw0PHy4CgWiZ4cGObXQYhSBmR
GZKUrRMJI5NNho+Nwj7u28INiQqlodoPsCOdx0RTx1Pxj4qLY5bSS+znK8MsVn4buICp08UYfrbW
AVfK0ap+0Ipdx0VbLZqsP6kSM1jULHYMM/rgJZ4Be0HtxLQ/C6r4QyIMF6vgUxz5i8BOj1kdp26d
qE+xqpya2KVMPc1k0g/HHsfnKnY40p3UgjiUoHuvTnsJ+5jRrzQnml+rJIod304/IlWWi5c9djc2
3dsMNg3lB8+9k3/9+K9PWQJ/H5vu/ueXY+vl//y0us/GbrR6etOoG/266z+Ne0dd5FcX34mG89S/
+RX157cX36QbjU37XteNHk8Tb+tGj53+nnUjUHLF2CAQEu4tODoxtqr4pRtBErbFCIWTU3TsgACh
gp+6EQYisG+hMySHUkIMrNxn1QhiiHDa5jHvS0DDKkTxW1SjMfVvUzMyTQxGlYCsUBgLEkg3NaMi
K8yKB2FwXdShxY+LqDWUtNgVJiooc5iOnjEsojxrYbbV+YCECxPY9Ny+6qpyyVGCq5vWxr54aLk+
Lo2Ueus8SkIEEjGNjTN4aO2dYlhSeOEPhuFfm1GqkgA2vCBvHFyTru7kYA0xCHEtPBVIlrJRfPS2
DbO8ogI2prKv2QDLVhXBMWz6upBxaBmSdqy0jgu/FKGTJjqVdtHG5ZVvxnUha9q3bOFzlNky4raL
hqo27i0QHav/j1P/5SS2YAf43ax/aVw9GWaPavYj1U+TAEP9w7H8HYJG1I+T+MW0hwy28XwReN05
zLxxTv6c9mAs4PEoMBotQuhxDdbCT5OAQLdjGBCUeA7ZT1Ce+i3zHm/NewGFPqCEqg0hWgo587DA
XloE1UCzvKjr7jJtqVg0rRfkMqMhi5yItc0H27D607Br0miBUFR9rzKz+RyZuitAvKbF1xdvb4eB
Mhbl3VyFUE4KulhBJ1hzbAk8uq5ecmOmfR6JoG4uSZHiS1DkQaOqWWYHTtdUmZBNa9bfWZPD2iwT
XhVOEZYRbOiDZqYDJ6fTO1FV6ArGCGqXxDH+PFgGx6vetrx73Bu4W/6eYwKiaYtjONgLhUzBThvl
0IRjxQLAtq8uaWf5vmt3Q/y5gZA3XVaszyzZ9B2oLop5XA7MHtXHCNFV0pQ9dssmq+6CTmvsKCO3
XF2prJFVEqBGwoKG3c7PQCJFtThNtAi0Cw4j8UUHxVkUt1a3UNqwL1QZNMnTSn7qE78Dh20YoDQ2
ghYH0HMZjjU+PvQLM5H1ht8aeawv08oTXzKfYyLNiMDUyNO6u267UtzkHo6//f5ljnPtpXUKtUjA
PGUU2phBr2/YDjbfpYU638y1n16mfMCXOArqy1SXjuJe8OX33wTLZ+ubBBz7YVBfFvxsfDLP8tTs
h6IMskueI3NdtFkZr7yK90RGebBART2aPajnmRNSq03+26QZJ8Xmg8JEgZ4CJvTdg36L06+HdAkV
+GmiLlkRWeskrK11FI88WEOiF3aZZbJHAP2qBQ2JgNKYsfsqFvqkFb153tm0RA5twyxyQpYmn2mZ
E+oGvO/vc6MBK8kYEuZYIjPLY4vaQy1///bG/jNT/tkoNiCxFvpyw/a8CRSyayu1LM+4wLWXrFVZ
gVKNjagCTZv2feqftoGKfvhc5OfdUARLOzM75RDcsIcKLILM6QOfOWYWNveqpOyusfKAnf6eSdPa
AhkMI5hEY9Qakv0tBgrHS2Fil1yhMqjoRWgWuSe4W4lgWHVVR8WyauraKbsCfWiS3qplEATMKXG6
0qTMwbLNiRPFRfIxj62kkyxu/a9tmGQnva4qmVtF/tnWEXe9IvWcOgtDJVVFw1Z6oU4v29zQV4Ux
0IXvYwFK8uCliUOaIDm27Cr+SEL/2u9T2sm4ZsVl5RWfKpIY1LUbAi9S9QRkg1kPg0QtD8/jwOLf
PVSbp4EN6u3gd41wWhSYYLjEvToxeNknsu354OLWMtwh7G5zXVQ3NTJYAIZkxZaeLuoT0yPkUxHg
Nlp5zMBKDkHk/YDE+rKRKi2Mv+qEJW6ea3ICNmR+ggsR36kmB0M0p0l0o4TXMdkUpn9aemXt9PAe
Vtgk4qpok25htmWxxBgMikUM7elAdWl9XjgNCbxFomnp1rm4CjzDRy7GWXUMWw1pnRSBT4BXLP7W
JSg4I6XIbyxaWatahAZZajsZ1tzOyoVGXTgsm4j7S6Pr0JrouH3Qfp5bzkAqMFtSnzT+sqvCDBZH
2y56v6n5ssy8wI0rmhyncKuEDajM4EUnDZOhDkPDYV7LJMusbpBmFXsOrYw0WZV2tPDNukcfWopN
V+kSxTKEmVQtadUKveoo687taBhi70PdFlWSyF7FfVreBWB6keG7bo2OgYInShDl2S3pk7AC/1Fd
1XWOLquoSqLuVKhiWDWirryTpFQqlyGJsxvEDHoS9pTWTg0YeOCCQAK0wyDh3E09D/bDKo7aYmFH
rY+cMq6wdxUUyGbZcdQzMLn6LhbVua0rCjOq9TKsW6eGvXBpG0HoXTWwdGzfKXjOYcLRSCfLNFal
kHEBm5e36BplO4YHDm1wf3goNaHbIVjNDjirWm/ZxixOFtoDrWAJ7sRkcPhggcRMSWTWThKURiwb
3fv6WisjSRaZr/iDUTdMIRdlpFopk9f80jI83ztNKauYBXprp4uhP9aQElgGixycfsnC081QLEWp
U7XsYzvpj5HWSe5YpAc1mXVWH69AF1aGA7CSr0aeDNiFSjpR4sI/ZFyBZWxoeOVp+jVMEpGc0FJU
8SIKKvvjADo1XYZGRvBZ0AbgV5AsIEG18somT29gM6anoT8Q8N3lwMEiAz/GsOC4G4TDwz5vLxLe
w9Q2YKmUrodxfVpSy4pd36M++HfSBuBUTIN+kg4hHe7jCDKpXA4MJC7tk6A4wUiZx75ike2AI7Kg
rsqU5w61B85Qoy1zcR16bWg6VBXhIJM8HIwz5MXmEueebwG7guUL3AdDdgJeqNZfRMIMWjneJ7FQ
IoXp49PC6VplDLLqlPFXCW1kekMqWEfkEg+pGpTkjWnQT33ckvrSzkWfuakoqgurTmFL8jWLgEAk
FN4WmCU4/T7gOA1OC3DrdkvdWoM6w5VffTJDYq2tDsx3yTFM3mWddowutD0oYL7GYeLGtIi0w1tv
AY684nvctqBZhH7Y3GjLbn/kZUCPG9b63oJHFiIy5R6MY8VZ2C3TssGXQ5dT84OuLPwJVwbc0dqG
5k6Fe9YtGpKE6rjsCGlPUuZrcqUMJr6kqBgnZxgWesViHejrrgdjz0FFC9gEbQqMZRqE7hnsYOIL
5QhmdwJSsnShgFqXnVRgj5HrsKyj6CPhqTBPOjNs6wsw/UblM+i7aysy7G6RtQl8NfiqB3AikaQa
Vihi48OPrLcgn4CvPMGXppXCU9SFBa8qiLJocETUwNLJYz9SH9KSwZIva9AKfLgGMpVUaXBVYLMv
U0nzAAHcbdnVF4kR5OCkRHXRLTsoPEMXfVOQUWjAYnLgiUCAdAKPenKVJl886D14yhuluOQBOAid
rvftdZtSYKMrw/4jrTqkz3xQc8OzLE+j8IbDbrHSKcKXhfCL73CU2i5kYAaKnGbcF/WZF2R+4/Yl
K1pQcHu6ygm8Vgexor+N4si67mqNsuMC9U30tbUTX4MH2Uge+kGMMkQVceCCHcDpQpE+0MvcTsRX
Y4w1JG3uF5KZIOb6sg0+qqzSZyKJQnBEk5L4IPYsE7ajgIgvZWg0/iImKSyTwfCoODHTDBf3CQjk
/hQ6scHaaEeJvQBzGd5o1wzNAjaZtjjDJXiQHE/EVQM7LW0QqN5F+FcpGvHJ6EFNPx1EVeK7Sqe9
BtcYZs2JagkM1SU4GByz9W3/JAdYWseIhL0csqapLrqexTdhAxY6Z/rYTDrwvw+tDeBECOthlcdR
ll2kdmeeGxUys0VQpElz5vdtHjjc0knwCTQRfYdECmIERCe4wKNAt1qKtuEF7AJ9cRP7BVbfcDZQ
3sgBNLD+c15RQ8Bg2isXATMi/9Tw8vZH4COjcWKm7ehECYQ/dNrwhlVZF1ot1FDDJFWkCul1F8WD
dQm+5ziWRd4g+8LEgdk5PWg3etEGOaDW8lT5shxYArJD63gBTuWudJuY8HI18AJmf2R2PnN7CF9o
x8u1XXxtrR5/CoMS5hrsdOILzPVEX6cixSBgSS7CJU8Cu5Vd/Z3wuuWjh75hny2SFq3bWn5lXpge
eD8/Fp4WJWzuMKMXuaKAJhgOfXeuaBVl56zMA3pNOhTbJ16XCXiurjP8i6g08tZNtAcyA7SxurqI
wQ0KZqSI/KUOeBS4bYfQSV+YsO7B5wJeXtML2MWjVvoc0rx+UvKfYnIv3XgvvXpz3IMX6rbMdPZQ
Tf2DGwP933MiWmBove5EfM7dfOmBeYrLjmQ//SmQbQqBSwR5aQg0S+i69sKfQiFjjVrUwhZkrv3H
mYKPoFL5WNzWJLBJiTET+aczBXySY290OB4qLDhGBImNPx2pG1hCXPn555fxVTYeLd8wjOCIKTR2
BMsSNCMOrIzegheGMyiOnV0UOrlOcW6aF5rUHlj8tUKJBZZRS4TsuqbhMmb5bdEkfw3ZEKw6I70x
DS+QlP3omxaUn9o/LkECFrlKZcVBpahNdokqXDhGWMcyyztTeploXMvvgyXJbTBgcv/SMLzIaZoA
Yl1edqX76s6wo1xaor0zcwNETKadWoCRlnF11plDLKkIL4y8uC5RZrlZQIdL0Iwat/LgGuvLOwho
ZrATlT8aVS2HJOpXcBzrh9HhZdBWWLLOP2asukyHqIDlGnjSKtrvLTc+x1UfO2GEb6hVffOhRMdK
cIOvMChnVz4cOlmA36uStRWVoL/4a8aGbKWtppFclB8g8niVmUUsg4HcgJ8MdpxafegIOk2QdW9W
yYqW7Vqb6swkfeSUhuF0nJyBagd3i+MEld9qqk6yrrbdNPK/Zdr+JsIftM1caDh0q4W4LYm+Kgf1
1cq628jkiQsuicGF1rvXBjArS6s9TgJlyBCMAdhRan/ZR+oGgpaXdW5cDrTwnBApInsCcUer4MlJ
iEHWW7gCgwuZ14bVxmcghH1pGWBZ+h0+CwPbX4VGbS8LP74IihotuO7AjjROSVuUUrDqlGdNKJFI
rvLeFE4fFfykzFOy6qt2xZswc0tVB07ex3wVsaB0Q5Q0C7vxuoVVEyRxDFdZT45Lv/3icbaMVX1t
o/oKZSnsToYoVqWZOqAgcYicRSfE8iPZVa0vzXbopY3Kk8SwSqckhreCheY5bdacgWJxGQAUcGf5
IzTKj3ZjXYPdceKHDILyJFyZYfY5qcxjgbtURoP9uQoLiRL/i86qexsRw4kGkkmrtk0wH0Ww5PXw
LQ2L3PVJfuqx/KtR19qNdfvZEFXuAGm8GGKjWNAmuukN0i8oASsUzMaHRBuJo7L8wuzFVWT2vqz6
jkieQWywa9pFx7vsirWJD2ul5G6YKeJ4kThuwe6SES27deXloYt07rm01OA8j8KvdeSyWH2mFY5h
Biq2gLXmmmZTO2CZVqtUV6m0QCE/7jABCzFDZ6P+b6bG4ILKSV1w6H/omzBY9GkxuIwklyolqeyN
znYg4lk6nT+M29E6ApfDONduTHpq9A8RKhJp+OXHjOkF7bvQBT/EgpvZF7DlHhCEtyGEaj6UA/ou
tDhHbXyZ9/0NKExMWtoIFnYfdLJPio9BrdexOSRS9Sc8G07NWsTg0OiQhLkXwjZtOiXvH4gu/4LQ
2lmbVR/i3LiomjBaQjaJO0TdBRVN52DUQAAxBbdTWEdI1iJonLKqHnKw5GTctcSNO7ZWRfkXZJgg
qTOICpMM/MFdy+3TCkL6UoPP1YlD8xtI3ULafallE9u3FeamxDZRLgjkM22UkKqh63oZDM1p5dHG
IaX/0Q66/2XvTJYjx7Wk/Sr9AmwDZ3J5OcQcmsfc0KSUEgQIAgRJcMDTt0flzf9mDbfKyuzvRVv3
pqasUEgh8uAc988P3zgLadYFTbAZNbqLjo5uPgR6F7VRoWsGR7le7sdQo7nlshRLPRe6YV4pZdjj
plO4JZLoLHrGS7VUV0r4Mg9MteQxLNuqCq5Vl96nVbDzlzXJI4nR2qziruq6Kwg2ekPHRLz088Dy
ap5ODoF9acTlxg75M5akj1k0zZh80znIwQ68LxLOignYZprlAQX9bg3UhI63XQocALddMHkZC8Ni
CpNkWxN2sYT9IAsj9VAl8lBXUZA3WpyGerplYSAzj7dZxfwBqkTvlpIKvHaa7sOIJzsrzfugwAKk
XQ/aQHp1HnHt5PCUvmHhBc6LumfbJHVuMei9Rz7ubS3iJA/axMnFQjGMVlZeETANWa/0i5u0VQ7l
EyTIukQAYkCC1AlxC4WaHXaSbDgj40aM6t2k7Fl1uJDmSm7WkfaZi195huOuz2ffbzBgErqBnYHP
FPrB3vfnXUoD6CJ10OCmCQU+pemxXpvbGWdiPvIE1Ek4cPhsIc2FA9bFJHFTGAgzWSImduocOxdA
h86r46sMQs2cUzLPmdNEj+G4bjHNfoQqvOG0+1xcfLkh4C/wyxigHAeXnpEniJj6Kg7tGec/lDzQ
A9gMsx9F1+fB6pmygTH2ogUX+8HqR9/DjS+k/+yswfXIxo9Zi01a8Ucc9uTIInhrOP/3A6PXMdMP
qW12vjPMGMWni5qnTLYG864Kfbh3GBfUFMz4VsKpgOfxlS3KKdpeQXhRnd2sKrlzq1aXYQh0R9pF
ll2HlnQSptqTfn2LHFwMYz15m6ZJHhYZN1lSOQdG6VvP44I2Tp0tvNsqrfD6uLtRzeRmCmxR6bjh
144vwcaMDFMbMBOuoxtioicVRNuqE8vOUv8bJ7AG/Ql0iOdBdUkWCbE2FiYbIW9mRMGslNwdL5pk
mmnrvkaAvNKgYaXt8IsF0jIU9erTgsfrnEcOfyPSOzdshkDFKp7rqTuySeCjHvvtajHiGh9ajyHN
jtNxgbTv47wbvSbTXiVzxXtRgq77qKmzZDqh/WZyfZKrdpoKRdYc4/ClqkbPbULdjNIqzFvtPNT9
/NinqcokS3M1C1AiLnAyk4w5HZQuvKC+H6NYl5UY94aaIW9J+hhIc0PFnOb+MM5l24E40BHuJ38a
Nwt1ROE1cu+gc8INyUk+e8N7R9ubxcN5jk8LRwjf6YjMudXsc4aJ63TRt4g4D44PKTZu4wnQRPMt
xiwHL8r7Oq39EU7RnK1x+HWY4q1OTF9I6h4q6csitQDOlqh5pm075HrpvTwxUc6ddkOrd5LQExqD
ACAQOAzX8EMX9m7eGc6vPKb2le7xZ0nzSp0Q3NDMH9w+AbdmnLu4TaPMg3gdpPPzgp4ri2rbZWOn
ZKlHWMwQwGnWNho/TqAx0s19UCoVHBOtbpJkBSsXa5HjvvuGlYktRGkMv7TxN2QyL92EW7fu3VtB
ZZ/jWjj7ERtLGXJInU13HzH8jqAG+2gvF9TpXp6XoJebPgoObjJ+5e065C4bn/VSowYZ8ggH/LCs
4sELnLaYB5TUmLxPk8XFD6kiS8d4LpQwp27oN5IsSUYgyqMcEoWrln+m6I3rKaqzbpGftu0xvkue
0d7uPU++MM6LMeaP3dQ1+YAuD+IW+kyNK7NO53irBMM3aeItWfpvUY2WLlbLq9+i5wNMlzPBXwzg
nArIWd3Itypp3vloroNAH1o2ugVtlw10UZyUvt6tOr5bardcwhYykVb3y5DuuiDdp1DpNeE3cF/z
lblrtvp1WVeiZP106qE4GdblIiSTdxi4u+aaxl5zK6SNXlbFouRKO+GE/xCOII7WJMpN2Dnf/ZP/
35Pq/7wZ9PIw538/g35fpvn7EfSXR0D/k2S5PLwMvImHAdT7J8r7E8mCyA2asyC4ePQXwPaflj5Q
3hBAMBgTACaQ4lwQJv+aQgnyk0mcYl0JvNTw7wyhSOP9dgi95D5IiIcCRARvGPzGRq1w8fhhxdZr
Jm/8NR5zUKTQVcb0cbHejNvF01nqyVNixV2yBu9rJ+CCONbN5hrTzMoGaGBjegCKew2jVuWLE72n
dXMWJn2yl0Nylt8MRiLtoCdnafwqurZDixkBvZuheXrtSc3+nE/VlGIc8K9moutcRCTIdNQ8RTSy
G19FbeZWOve8ChOtF740In6iq3130BR979i1eWzYeNOnwRU8YHdL0uQepsmjUgu9qqbxoOapw3Ew
HN2EoxmU06ZdFH5mW/AErF1i9iapNwCuq4yHciNr59l0LE/HMAu99ErASrLQMgsZA8Gs5OCWFmQm
Z3qjE5EUkEMzUBsfKmXXQ+NGGWV6vbcoS2yq/NztBpR+NE0h91nuRAEwIenwMnXC19Y2XhnNVVwu
jIhDrFha6NkdCgdc5RKrC804FQK2ZQFLF5UNQpXvmvto7VRp+/Cp15Nucsr64D6NDR1TDMsKwOMS
DYN9dOfZ8nxKQl0XoR5JXQo+Tv0VBF0OQKmmIigqhWlAo4lKoqlsBozul0N/nqLSDGgDOaXbhQRT
HttKZ1XoPgYxzrA2Dj47Hp4FGYBbjPaLDZo6iwZcOHVlHuGkfGHis6/Cgw4ERrpg2K/GHJc+5mhE
5U55xCnrBk4bhNJzSlSbN6t/rGvyvAbRoe1Qd9twfdNuqB+DdrijbXDnArqcu3kPCGq7cF7tWFj5
YAurnRxqlVPtH1fTgCt1uni/OiussDZ5cqY+AenkbObU2xIGWWVgCh3SvLcpDjmiuigLKA7WCfTv
BKuSMZDkJLY30qs2vgk3g4MRvu/NkxXiWYTeN+XjM6u4fiGJOsmqeVzj+pW2/c1SNyxfxmTXSPsy
9CjwRNW7auFxLgIQz8t4aOHl5h63LxOYTOnqt3FlJR6gd0w5A77YvUZsHovKnwUkYAlyqxcPJugf
a+geOKeDAd9ac2yWseysi+M5ftVwYaC+ROe+i+9sHWyJXz2DYlm2ZF3z1pgvYULvYBhuYlde+0F4
vXQEfVpkvRNPJoN/kifbgKbx6aaRH03TZmYaeTnM1VaxmWSpCC6d/nrDorBISIX/Mhs08vHwYs2w
5FXkvQH4lnkI+CcnA85sQb1smtaHyEIaWpSIQTbHD1JStAvk1Sb1WaTLre85W5c06JZ1+lG1ZNem
CS6jWO8n0+ICrB4Et0tZce8z5EGHG8p9wGX8Eo8A39xKXY0suh1S/yO1a19yZ75R1dxk7eAGeUW9
uKgrGWYiqlN4x72bhc0ibtYmvWsa1JV67fS+mmpStqs7b2SUvi/VCMZC31TQ+/MqDqtimEmVt4C7
y56Hxw4T8g109K2zqlreVpPm9510v1ar70ErsYgiqJNv6bsr3YMRZoWNkTrl2HiQzChm3g7mBXQZ
uUkbrD0E+AyetW6KvunQ1ow6zTrgBxk2KYyoReiIq6A/WTc+jp57YMbd1/V411MoYGT295ENrhbj
HFWLn5I1uujGmmShdYJiBWXE6xbKRBwU/y3i9P/AIx867L8/8i8PtPiDAx+v+aE54xHFCRIz4Pc8
PG3nFz71x4F/iW5BbyYQfiOo0uFPB36CZfHgiy9PpwfURC7n8I8DHysqoVADGsMCHBcvi/7WiZ9e
SJafeSKwsUgDonNAxxET77eky2AJWw3UtSvqS3vS6AtgCypQ+gHOGzoBJLGV8abM8aJaFMlYxeq8
knYwpWF8zeoxJOKcXGTqMfMo3oPmA1mdoKwcE/C0hNcCNcu3iAEs2TxyAxrGtE5XWELRpWM+cNJu
PwQ96lY6hdFya3gMxL12gL7HYe/kZpHPQMtZDvBgN0pA7sMwjTiegLr1rEddos6wqQx54BggexmJ
UrW8gH90J1cGpcFFW6+q7tip9ih1dXLn5WkdOpbhMK0yzM1IhOxFS8FK0A56S8QZCMaRQrKK54wl
ODpNZWk2Lfa5jdMbyFyIRFCcMgaTLmaFDrpr3BVzmxwuqoIHTqhgZnoZFwzzLhXHlpGwaNV6Myi5
buZoivLIpCgmkx5zP7ZL0YyRKMgqbbmGfYg8gFeS0KwFN1Du52T6cILlKBwIQAb8TN5W7seydArd
+wCcX+PUw5jVugLFG2kDsOlPJlzbnOv5NJjG5BObvNIq/x5Bio2OjbepGpSwizBX9VW3D2rY0Uug
rrin7rSeUecwfkc2r6GTZXANcSbDTDXiPYB8mQEcLEafQG9oClEHTj519BBUbdl3kHUgE/mZNy48
64VqNskaOxvHH+E5W3fTiJ6fyGq3LqXPRkqeN2iStv7qs8KJ6A14ZNhn6Zi7ejxMBqK2Jv0zVSuu
xCY8rqt7P9KljBYxIeLj4lTld1ROJxb6BRxzk0WABsoKfAd0QKfa9U1VI56V3pBQQR/V/qcS7rBz
8VzUPJTqKnTluK19UCx+84hFJk8tBGiArdcwyJHbSBvwiwJwdCL4hov2aY6TYhV1Zoj/SjqjipiH
22kW90sT7iXV0MKrGucIbPJ8HfiEC92rj13XAy9JLdnV8/wsAbQjBDE+L9X85AbDQzDgfMWguZV1
es2HEAJ0kgXh+L7ElcwGOQPBiZsOWiXO3MQFBDKa+4pjsFXcNaVa6Z4OAd3pUd+ZyL6CdPqiQ6iQ
C4Ooii5Cl3wK3Dwg5nFiJMrcJmAF4NiD46gDcM43aZM+I1R7uafc+zSMNugfH7qBbCGf3cyEYQxg
/j2mh6RIatICHHeuaB2cWdw5ud+wzcLEMwtiuZXu+tZSu4AnojszQVxw6iTNpdMgK9ei5RhH+cql
nvD5oOsSi02OKYjJInXJlhLbn1jUwMOPcZF6IihhmkVZ5MwbMazXrht89qKeMtXrqy6OH5Wu6kPf
IkUWuctnw9I7HkCzipDKg6mxrNlg12/z1HK0Hsh+oAMIci+BrNkNo7sV8azySqB7rhpcOliHkDUu
VBLVMczOoHCBGta7hi5vUT3KcoykLJcoPZtQn10n+GyABBZqEVBEG6gRIXg565Bv/RwcqWK71apX
4CTo54HsxH4z5x3sHIIOfZMsDqQ9E90Fixfs6Yg533KUEtfjZ7dpDyvsvXXkR6C2t7yvjq3g+3rU
91WNdNaSDoWc+9OqquvI6R465A8u/CSsE0SqjinqImojwofItpWxMvOWN+pZqnHN4znFPTvAb6vm
vgSBMOZsmp/SYTTI8ji4p2WHL86a18UfYerHy6ZBvC1rE4xzKdCUTbPWz978OfdAB4FfsVKuwbGO
2tdlxSfqpuZezKNXVpMCXBFfNDLnyQvCz5pieFqbmGTWD/dkUF+BiH6xPfk2ubgYOhk9dD1+YTPW
shahGAeUCIl5qo1vYDWU1K9cGB6zkwkxgQBr7vCjFrOpr20bBJsw0ElOJ0QcrYhPMG4vWCvZG4Xu
21TJsg/m8N7rqpc6TkEvCPbZzlBfq2DGpDZbuRua6dGXyuZRDJ4PoPKUDt/p1//twsjlKRh/1iX9
QyCv9PH220bp+8t+NEqXpylcHjmZgLdLgl/iOj8aJfj2fgxNhPjoiaB+/Muf9+P/TLEFDg+xQwYn
QE4Cf/RToxRCSYGQgqRPkHre32mUwOL8tlG6RKkjaCwxeECSIjP0K38+WahOIQmYa87G7pCINECv
sRwTKXQemv4pattC87HZSRUL+wnDXDu3ZoVApy3Lwf6J27TuIMo36+1Ig4NCknijxYBEoF0B7aPs
bJmYggzZ4w1tpnoPMpTktKuCDOwOrfN00nLTxh2qFRqV17SGvOpEMWA+4Hk8Rx46OEyLYw/wXpa6
ytdkZZg3mmL1Kmc3Ov03mkqLvACptqsLv6F2mxRhSzo9dZCXjh7K7jnxJcBcdt8Zv+7KpF3JpnMT
Vky9g5jhlMoCg65fCIHx14tSsDxuemzifiw1dVH/vHETLt1VEqJET75KN5OwS+ZUI3i/Ws47eGNX
7jCk+Sj1az/TE6assiZr4Q3emQT0OFvYZSPvTMbAKWU8SXKklUwp8RvOaOWMJd6MfqtmFX1ZLZ+q
jYaUgePYAUtaD+4u7c1d3fj3CSfS7LuodsZbhkzxLtRdLnUd7XS4DvI+GkkKvcNU8QR8AuF0353R
bYRV+A3Zx3l/2W+5NbJpCtvKm5UPV5BpDlLUV5p4x2R0NmqYDw6MRWXBAWmJOK7NQ9Z9zNK7Y2P6
+n8jFqowAn241f79iHVSw3/8A4/xEZ/DbwvI95f+KCCYtBAPvKinHqrFLzPTjwLiJlgzFyRh8H19
wkU//SGtBtgLCwAAZQfrYwmCgv8qIFg/mCYYsTC6IeeBIe3vFJA/yD1AqIV4i6cLoL0glz//Ce/h
QPngQaT8ChqGDWOgn9tAP//0wfwBRPQ9avjzNIcMDD5RL8SG1MDDA8UuReynd9GI0YrQhvxqVJwJ
tIoEUf60h1VdYV9ByX1kYhTgzlNMoZSarua5sNUR+B2/I119K1iy9cKanWZCTEFcJ8zdBNiQcBnJ
CUVN8tq9meozm2BHGPdE7HwL/vWsrYKQ51+znh4Ib9asnS5CIbziTXzpliuMI8AE0w8XlnsGwhp/
ODbwPYX5xsKlR48bIX3cVyZNswqvXzAXZghAVdFhRiZlW81LXIwOguE89eBdGqvADY0SCLsXPAHb
jAHohv4XhCGGzIH2vGWkqaOyNrrDQLjq5lkpd4Xl0ZB1R9Ou4nvXlyMoUD+5itZhXbaxaThU0qRG
AfI7P3mynkbcXXtAxR0bhVtXzQil5J0bA1LF7NWOa5WRJXSuE+05Z3z9DtlOmF7OYo7KkdtEoc2O
TAVEp/ZE0ccJ2/kiaA5m0VFyg/cb/C/hSuPh6K1qUgVdfQAdfbjc1C7vsGdhTdHNRfFhooa+Xp5F
9DzFWA6QiNXeB6M0AZCNBtwNEoSz3SX1VCFRPw8plG7o2JEMsLPAkKDwugU6ukEHqild95MXwo01
BrgKPnPolXZ4G2p6XNaJ4mNPPKhviId4rVtitwjLqJjmOzuZA8eahzJVbnpH19BFoYYGnqzgclTX
knxpggJB7yLW7DlpQxAQtp2KSDNb9hACADVEJFvEwg6IFtVlPGIOHEfh5hJMxRUoBigNK1jryJ92
cyCh1S3ecEs77paJ056ZFOcJQP0GGOhtoMI9zmNM+pHYYa1JU1Cf3AzpfD9CP36k05J8U/DtB94U
0bxE3xQzRdgORVNp94E4ZoPed+N4qoHsjq42GTBPItMwRN3HMIx46hSe9snXJ82dovenQ7q0GxQQ
YMV2GyzkvCYTJrpx54beycLTpf30jpn9rFtnI2a39HsNBXb9Ko3NqPqKFI5bzJHwoeFTfBPh9BpG
7F3YKCjhmA+HEZkXoPv2hO0ie5965wibUSCpviJnViCNIQqZxOiqow31kp0h9nWphpK2FVJeRGd+
RTE8gLfe8xCxQaD9BVa63OBnvAuNkcXCLC1YXw15MBF2roOoyevKux2FHM5oNY7UW3AxX2YiDfSn
qWJcZe16THETERVnXtoXS5Kcks4/BYt6duyYN2F8bzx6K3V3ivHvk5eeWjPd1ik7CK8rvQrTAaVL
BtYOKwPquYN8oaDK9+SqcZovqnG/IOl8wObmoxLJAWrHrZ3dAjQ2fFpxDgNwAEKvRxvHOyQ3a8Dn
61fdxDtzcT96aDj1AojJzsDf7LrXVsrDmKiPdq1iTJ1SQPPE0BcufrPVabetBte5s6uj/yKW5/p/
UN8vuTzsIwbh4uPvv6689eq2wxoJdqU07JtJpFhFMmH3TdtO4jS2/ozmqdpQVbf7trOfbqeHW60b
8pDYBCbWstyZiy6yVEWTxs9kGbfoVL6Bo6dIVWHVAOVQ2CN0Y8rimhYVy1UVDvnME2SP9OQVcTLu
JqXe+9ianPHhyYtrXU7uCLeJNBizZT7rfFj2btfE2VjJrcv7rRdMN8IDQNnGH6to703MD8iQHO0g
Dtp4p7hTp2TwsFJlRrZjWNnOWyBsDBPLo8pRmxq7eWhI4mIgw12wGmAFdXQgNUYs4AHkVI1AQHi/
PHKG1jaNECr3Vu86YFaCmIhWCBTNeeoAjw5838zhNpxHVjBs56lkA+MqgRgEYGPjwHoIaXcC+Y1e
WSKeIeajMO0O51qf4bu0ONeGDSiQ64aLO0wE0OvkJIpIOlAOOwKZq78BGDUVLVx9ODf8McD+IiBu
7C0lMVCTiyCICzTpLZgZ/dFosnU7wLeB+wrSoGh9iHZpsJtRh/wBTyxP4xPR0CBp6nxUbmQzxBey
CNZH1ojW3TvdpZaNJxZHLx4RG4IYQ5Y4zevaem7Oh7Upg5pe+zZ0C1l70Lw6MFqIoZgnBfzpyMDJ
nQViIfs/bxIuHPFvWgQMREkS42GymKkuj4r+uUXgtr+MtgiQwuwtfH7osbbpz98BLdNP74AvieEN
NG4CkSi4PD3nN+FJpEYl9GtKr0SEAGN0zQzbse6un7G5qRc5w7KolJd//p5w0P/iXS8/90+tj+ma
sQt8xzlDRb0P4b5niJPe41R8oQF6D2zZ4YDVwueo8mEkSdDOiPvhroD+Q0DB5LK3L8qJT2zEeitw
NxuRzu57Ugdx0RL+GCXtDGxqPcYieIVYtMDO8iODq0mq0thYlknnYB1WNyU5+K11bxBgeleSjxug
lYioMPZV4FotEbWrC1TgtRiTiOSTSe9NIOwW9fARo5i3b6l/UwPAhnSyw6H0MPT9JrqkN7wQy4NI
7ZScoEMRs5TgogzJdRsFRT+HWPvAljuvllBv2JRrn8JfTtcjLvpvegCVCc173wcOVrAED4vlzwFp
DuGoIBU1aNZY5YO7HsGNI6O7byw/gi0u5Fp5hS8IwQHToMqS54kAnGW8PSdYmCX7uZwqiyuYlM1I
EfPzu0LxNsk6y7FwSFTn7qLLhPHOVZCTE7rc1xFHA9c5D2YEYu77mHJtPG6djsHWN+otovrck/ZW
dy3w0WXMBvcwhZOTTaGPBTEJKqLrPsq13i3VsmAyNVcdAIGCd+G+74NPmImQ1pFU0mGwpV1wiuGb
/sXl9lfXOCaKn682SFTx5AHdPfOTvAE+v9FH/TRv7T7cRacER0/+FbZ3eHDP2PV0/PM3v+x7+4Mb
LPZ9EK/Y/HcRX35+c7erE9kA5jp3RZjJk5d3GywAcY/Oc7whJXm8dvLT81RysLNv+Iu4Wk8kO7BN
deWD7/qL7+bXB9/3u90naC8TH8QIzr9ffzMrmdvAdXl9VZObzheIlD330+7Pf+Jf16zfv8dvtBfb
t8apa0zeSn/Sfpeut3/+9f/wZ4hh0sRQnpCq/81vE8kLiLYIg14p50ZDFOhD9JzfK9T/du0vxFrK
nz7s320+/IdA0uTz95P75VX/b3IH3xQAhwLOj8cmQ+L7KZcDXupinoYhUh2p5+JS/zG5Y6ZHJMcn
IbqtBEtI8Ev7If0l/3kZ6WM8bdtPQS5jO8rfiObg4SK/ut+w+jDBbYalErBJ8X3ipvv1JU77eObc
T8S14+pXyoBhWhhh7hruhdvKjKOuDb0BsAG0Y4IB4NNTuuqrObmwe3Or9y0Dqw+bMu8vzhv6pQ2B
FTdfPLkE6nw+UdyhY1VEjgIV5Y5P7OLiCdh59cXXm5x+J5rhrY0Wmhk3+Kg8NuSg6ikK63JcYA82
F5/wMtoWEFGB9k+AaC5uIjGAUfs2XAok48Y8vriOwUqifLw4kRKWpLeCL/dgUpqLW4ls3It/8S8R
WfxQJDpgBQZsp4vHSSe4nTicsrDGWggJI9Sm7jOKP0b5i0da186MdBJ8U35xUO3FS20vrmpcYZwZ
N+vFbUXCiWUeDFhb0/MYy2MHY7bGz5Spi1fbet7dzJoC4kFbNrBzK9d7qFYxQkY0LRAIH0tOLu5v
1zgwyGAIt/4K1j7pnpOLVxzhbDI0DyfN6P3o8e4L0fMT6OH5OCbDdefDVBDujDg+Qgiwt/cYG7dt
N4P2ASOFKAskVeNjoqqr5FxT78nX2N1n2HwNRisqm8bYwgstLW2K8wVLk5yto8yd79QfoajUFqng
3EXW96iit3F5QyB6E3TR27D6amt67D0EPwWPdG7VU+rW8l4Q0TWfjNqPeanvrE+gbpoO01bT10ny
htV1VxWu7z2B0LFbRk9de32VXgdtNRzWtMqDFMLoHEe7sYfPR5AQyOsgXa98bhFCZKqdt9in8DxL
jB/YGHX2F/WJjKW3I4qmGE+hddjsl9v7/+pcAD7j38uU9788A+b3de7yqh91DhYHKpLrRjEqXfjL
itUfCuUlmkiixL88mO77Zqaf6tzlfw3BjkDbuyxy/bnOwQ6BleVi/RI2vwR/a8Wrm/y6qfllxetl
MIBI6SEFGRN86z/3FciycewO8dbrBAmNm5iv7R1zu/hFicA7rHOD2cWFwZmMEznPK/xVRKHrwg0n
+xSn83iPdLnYWuuyY5SqqoydsS8l9o3BdSdXQtTpefLd6oTVWf0tigxeP2GLVWHsmEBi6Jadk6SH
xbNYEDXWEFY6v/nKsEJiy+VcgY6wAA+6YfnS1jU9KI1LN8BcWHiSwOVNki5H5vop9XQOFvVtrdr4
YBAP34zKmY8SlEHZQ78DiocbZxFY9eQb3O2sabACQqN+sXDnR96IFIQ/wgvndkQ2jPPPDhZFcIvM
cKGtpd9i3r3WC/YM2GrKWdMduMJaB2ASCMXZdM7HIPZuqEtfSLMCz/J7lAB5GypNSsRhnO0YUXuw
1PgHkI1xKXxxdB097DF4pAU6+2DbCBlgI4FX7SIXaCIiTc1Bo0ohuDnd2h5ABhYsIRHjhDZzwrDk
DeIrHk2vuA94ccKGnIODhumOzZ1ftMx1r4fBA7UQz91e18PBePyL7uIlawXCaV4SYZUq7Q411dBw
wKTUJZZz9oVwGrKpInfHAweoLFbPLuG0xUZagDLWdG+Tovy8jMGn02AZrSbYXtpCHimwtC6HbnEf
+fFtG+PAaJZl603iyePzmJ7AdiA77YnrSbs3ykueCPZEYGEj23cO2S4eTOJYh2XV4X2gCXcZTDF6
HoYQNIZsj4PvfoahMljvMt9PNRTbActvL1wkdre25Dqm6U62ajv54Ykv6bmbybZ2DegXAYMqqqKb
teIbS9l1axnyWGO7SYOL+R6u5xD6LU6WRyjrorBLcIwqxBuwVONL6/UIgSLgk9bJ1/9i77yW8zbW
bfsq+wWwCjlcHvw5MFNMNyiKopDRQCPj6fdoasmLlu21y3VuXS7fWKaYgO4vzDkmuqEdyscvTYC+
dYpqLq+6LUMGnHN5CZYJZQnFRP9m+4tcMSySyTYS0zkYq5q3okzzs+E2knX7XAjosJG19gw5nWP8
bYd/DuOPnZHqif76ML6Sr2yM/ngYq4/6eRizLkJHQM47xy3dmpqD/DyMWRdRM7JGoYik8FRQ7Z9F
p8UiyXMZ71kMNngMPh3GFqmhrsu//LWsof7mvlmBKz81eYzMVHELDlAHamdbxq+gr8YFGDx6enQh
qRQ21lLkAaVFEJ20qdFPldfitdT0uX+xs+TIqvQZW9Oyqr3szRoYKWmjM3p7NHu4fBtLzw563dSb
KUuzeIWUTzwwrmb8BnYeAFeF6hVCcOoCRakt+WozX3zvej2SW7NyGCS3AwOSCbgLsuUtjuqs2XQF
Y8FVIe1h28gscI+ovIIwYHXTfixx8rRmoZOp3c4E5Vqj80dqy4vmpNEQQt74BnAVsZTaDmlWFmwL
tTEC/cOshiVS0RtXNUul1tEvFpZMhrWcE5ZOkaWdbWDWBsuoKY1YuLqyUAALB87QALmvtZNzjVFN
r7XrDCnubR35p05tuly184qD1jhXrWBjoo35ZnYzVGq1lrGy6K+mrr3ScnxBY4w/dbYR9QvBehpd
I3wjt9OQ1lmz/J5b3V1a6HfsY0pnNXCKXmtNvlxYNrqlpt7GbJ2fBDMYD1ZMBP7oYrALOM4iwdIV
Zyuz9uKNKXwssj0ifqu801xn3NY+om2vWcy1lOUOgRQ7tsIFB4OZIAIBuDYNYC5DPKJyr/FxWoj/
Osjht+6o6FSjUl7CfA56LggTx1EKZW2xtoMLr2vua/tLG7CaQY4eSuTGW72I0xD/xYplmgyX2quf
HYC3GTy2IAXRbsbtqp1ltvv0Kl7/GDV+Rh38SbNNkeHAPYQDpzPj+n2VwfBq1POgxXumJ/XWAh30
yriLLf+cs6z85/z7OP90RiB/ff79v/L1m5B/PP/UR/08/5QTCX0xcxuOqo/t9m/nn4oiAPLPMfer
3AZdss6iHLEy3leWzZyn/+m5TcNzCAGzf0QReH+n5+Yc/uX4cyArMneH60jwAZv7X2pRUTuoPeeo
vdIL6z4X7Z3ZOqfSbm/yiQSAcbCTY6wDqDPsfTbP2brM8wj7HC9BN/XssZoa/92MJQdk1a1uwxJP
ag+bkt25KAKNm05vEHYG/F2VJ5QHpjYOQSzNsE6KO+nxFjDY9UNDTBdagz+wrDK4/MugrbQJB4CH
E3BTDKYWym5sLvWqvEf77Fx4w1KdM1NVkS7rgDii3zMLb2e3LCT8QeB0pXgNF1ndJ5WPjkbD/qTL
9tDUzjai7gb8DdfKs8t36IcPkOOQu5nOXljanbawRIualvNwgdnjxF8hwyKPRSe8orLdVBKSxNmI
rW9D8iqtVRfEeyHIDhiHnh3h0mf8RHLWiMWUr82lrTf1nL2OCzOHqZPf+m48Gh1VZqDzDckhOrTS
v541D59UtdGWc98Zx8n2X5zMPQg9Y50zgx4PPOcsaRfSkk2cPfgwYCfjKlencqz3GwQL/Eosrw27
OG4PnlTG/6i8NWNq6kBL3iazumkrHxwUlfAqNRJjazaCYbU3GFvLZa5SR6LbFLlk05uPRih1/wxZ
Ge9QihOexWvmV7dTju9bX3qDyw6Apd8ivHIDyIIum/pN3HTDXdzpcMaN4DHWRBaKtN7ho8Sp5t3b
wfJqaHG1K2cMLPTg2ZAEa2EmqLshyqEjrvcjjsqV2zVHGrKW31+zC6wS7XJkVMw92cTf+VHDJwZY
UOfiarHlWypGcTAH7ZoH/DUQ6AIk0QrHJDeeEIBeSIh4aw04/zodrfdp7N8Hb563bTex92/9aO9N
zteSV5QEC6zFuRLFpmPPbiNuT6WvH4cse66X4LQ0XPyOSHZi1M7NzFXesqTcdjF6SZFHNE1te9ll
C6/PcJ9gCG4Sz99XFuwCHMJ3iLWpYs3+sbG8Q9508d53xBH1E2vJ2S23flsd3Nj5IhM9OZJgAQo6
W+74O8dzw1geSpgQmy525eqDCDdI0H5GoH55kzWvdCrutRHZj5AH5GpYIGm0LVva1uxpxTQY+cmc
4mhqC/IvplY8xXoU76skkdeZ65BlYDXrqZoNuB/lg28u+HG7BAhXRnKCKVJ+QXWFNzvrAYLlSJrn
zsRiLxKE0exZWG4d9AUZaOMnB8+Iip3L14K5yZpDjsWODXd7TaTAEoqm2ttds880F/DHwtIy69DU
FZrBm2Z3K4BxLJrtxFsHbO87hUtQa3y49BAEgpDa44sxZSdH9kdhzRjd5d3gDX24tOUuAa4TVmW0
hFVuXA5T/yUVThUWc3Jd2v1NHo8PPgyNtsQfFsElywEWh6XIHoB6HpEa7Oe2vVfborDpKz0kSgMv
czGd87bZeLoU23JGvGDK6SKS1k1eodCYECB4AFJMVv/h3PbfbSd6SWPjCnLqJaDX6yZDweIP7dco
cmBY5MtTkTDqQkTr49svX1gIQ7uaQQt1Zn0vEvs0afgLWWxPLI9JdXmwoJ3vU9utLAA9jgkiCCal
k4r1P1f4jyucMfdfX+HwwV+Hd/na/sktzgd+vsVV8BMiVwvHLpPu/9ziOvx7h4v6wybEQOc/XYz/
L0fng3SXiToNy+fR+Q+7Etc46xzYt8yA/sbonKXvr9e4b6loIj6TQm4FHl/f55FSFfuo7gdfXOlU
m/uaNB34DH4oWXD36COQdprteepRIABR4kGa+usqsyEoV+VXaZtIDrR2z4vibAJLzqt4dK0wsxPE
V4kNzV6DKZN0vkbV7C70PFN53cTBY+LQeA/SslaTvpwAQZ6lY+99gWgEptKumevHyI8FFlz/YpEz
Q1fwF3tALcdYuT9y2zkuPtvI2PYuXNP+EjvIUbvUv8Hnn68rxEedLl9NgCvw9uKHoXTqcITLTI+k
yA3DcuFWHuYOgJUsyp+CQjy603AKcuM8esW95pQXnY/WADbhl0oi7NAMGLPRePIW+xZLzNaItWcz
nbCvxlsqFY/9Qn2uPfHEsObSSjAzJM60GyZOER6K167g/a8m1Ul53QbbDkbIqSiAFGExnqNm3vh+
1W8gwcxYVMsrJAAAMmNrL5TwgKvnciw4q2K0Nzsn77aZ23CjDtnKyY1qpZnLtRW5b2ZX3+c9/iUM
KKEVV9eT7W5nBC0pvMow8tprt/e+JE0Ub2p7fnJTRv3p6NRMN4C4FFUqtlY64y0wvV0nlxsJlmRr
JMVxMor3ZCnhHXbmFzeRBnxGWEmuwAszeOZlEXl7lFl3zaWdHFzKGNjGJ3fOaKS451JvYHLfwCLs
lmzTWd0Am9B/SlwygPqmMsNCpDv2NOClSvGWe65YZx3TcrMxtoUPaRDmydzN+xQKExOk7KuU1jvm
23dyquJ93NiXitI4DQ3COH0oN9lc2A8M2gDSzujkPCXFqWA4OO6hcAzQp8lW+jF3IFTczTxNOGpi
d975H3P9yum7zThoN2k9YlDNR4k/FvE2lpDd0mDk9SgxbA0bTkPREbjqIkNFFSL98qFKIRBRdYoA
RQWv9T7VxXpoy42uhOI8ujxHwaOwBmuVqIqnsY1mkwa4pXKvR4gOk5CAG2qkrqDuZcZ1Gwxw500M
01DFD1XgnqOhNeB5UGsVccZ7AdBl41Mbby1Vk7m86VtN1Wk64MfTTOkWUcJZqpbrKOp8Vd0pxvgB
1k+LORDfkrZwNdOxUw0uV0LwpmSqUkRdfo2X9pyUur6uVTXpUlYWlfvSUWa24ia1McVLKlAfzNBh
csXlFBUjvvLxGJjim90WlEnUr6Vd1hsvb3P8ilq+rlWZOzqquG+ceJ0s2o4qJFteTFUXy3OWHVpq
5VQ0+HsiHoOhjF5nVVCbc3MRqRK7otaeantfGQlzT6pwLc7f855XxqwEzzaVehuw1FOle2Dh5BqK
4h6a9/dA1ffxxHNnqZJfVPHGRi8aajX1xBA31VkzJ+fCoFnQ0rK5nAbouFDCsg2WlGg9qe6ij6IP
fRwopXFA7Jhjd1TdSBGkd4nkaXbs2DjIAmAYfjvkqlEJeX5ebnA4YutaLOqicmAQRNtjMWQk94oX
K1maKNRUd4SePdoOGIvWogG7hjWYsLLkmIOYZvPV3JS2dSpotzB030fqNjfM4Rip+91alikF2oV0
6goXk3zKA6cd0S5WbrZq++zUY9YDsDVYpUmhGlXYIdL2GSVQYp//qQk+agKFy//rmuD8mv/JUFN9
zG/lAE4ZG08wgTRI4VkOfSoHrH/pAdtrlkk/K4WfQ03W7xiAmQZ4/OHvTTRkxNK26qoNdy3UrcH/
ZznA7JQlLZss6JzoLVS58EmkxdsCk6mpnKt8KOKTFpdNdDdNOeYMZt/5bmSjC+LIVnhxZ03GXHGw
pTPir9GcfR7BISpns7wYRz1gtFhw+E8KGmfjQgut0jj7Dm/KmLFIzmm0tAAYxQeigm3PFn4wXCfi
9ILFBxwwII6Zx3gN020pacrjUzWNp6wqtpo/JEjVs/62G1r6t8l9KSYkg22WBJvRyHYFUOLFqnej
Gd82RsUr5oINIURtIEFH7jsCKCDuvXtRf5Na/hVFxgFHwF3qq2Vx+6TFfn2qInFqkuAgEzs9GMH4
VJC+52vJXWk6X2Cec0D6eP7t3KrvjDZ+NnWgaH6N9Ct6tgJC3hNedIjNERr4AcxygjYW8yVqKmB4
EugD8KHg1Fi4cHJpnvK2uGwQ+YdeFiNQtl9l0l11S/W94wcNF4lSSMBGm6P6WHq5typh7DvEHrBz
CwPD9MJg4TDLzeyLV1sYWb35uETaky+TG8Rk0SrpMuBYiAQar102wcyt5VdTWCPfX2Wj2KMke8YN
usuFJlaOhcQyngFrx3XyxmklV3NtOGt8oztXQzkcB8ScwBivattcjx2YZ2VorqPERlT9vUcFu3dz
N9hEMWu72AGM7hnftQm7K5azq0YlFy1pStaZ19z70tfOWlDsEckDmmr3wSAH5hTEc3Q1SRdxBRhF
j+cX1BJHP7a/eU5rMQDImLaL5dmW9dGJ7RfqyJvG1+4HaTyPNXp+4jm/e6U9b8WYB5uacWbpzfu8
nYJQ2ka7yvrxffIDHFqGolzV8TYz+7c5kSMXr7X1hvwNHwZ/nsmaKTt4uK8D/IDzBNFNwaymeNch
RynWwI/tHd+/uwdIASOTQ7kPVkMpZ1S8vqchmuA0WDPQq4INXtiC9pyfOHj2HElft87JSt0GyJso
/XKNErVOkv086FcLL8PN7Gce0kN/hDXYOpSC5tGyMmtl09NaDR+zpLV2BfAFKt2kiw3VFfMEpwHZ
lxuzvrGtdDqUngYVpxHp0fenZecNzrgRKcu1OUHSrg/DduzKN1+Pr5qBJSGH1IVFZRbiuLuZWy9e
t0V22bgIcE3jcfSd+U4CpH6uyBalSqNDt4yJGYLEj4ZhANWClW+QAYaDTaIG0hTKF6IKMc37PDcm
iW9epS+YOgkDwhm6IVYxCD1tvshNaDYBd2hPgEvYQxUKEdJ8lT3AEQu1ykDhUrk9XbDjHzW2P0fM
+/5aYD9gS1rJF9NrGDlV/rhBqYlmJGVeXyVeQUKlrLfE3pSrpVv0t8YwnwgNiLYBpp/NKEd/B6OP
UykvnJ0o6e5bwk93Q97AYzPV7zcCPbLY0QnC6Q60/WXKG8W4Eb8Fu/Jk5LvWNYe2QJzA4+/SMuo2
IihwLCzyQnGLV1PCnM7ye35DS4G3Od9izZi3ZVXeJE6KPhQ56Ur4zslHIMOWR9+lTv6sD3LXa+0d
pJcBLw4wBejwG7jaF20vAdf2ZbJKPQn1r94jbf6OB1dtg0S/rtEV8f8VoXnhT+V92WbFGd4nfJwU
foSdBptSODKMG33vZN3j7Fbb0a5POHHfJ2ITKMrLY5eP0OAMjDeuffdPhfBjasCe8K8rBFJbgLX+
yciAj/qtRiDdPcA692/NiGrZfy4+UaEwa9fZzjBx/7DM/rb4DNiWkkTG1vMn7frT5F9p4/DcAX9X
W4G/VSOARvl1ZIAAhfKFlSxfAnQS9eefaoRpjGISEUCt5qyk5sPiitL6OiRWF11B27fKkuBgzdz7
kcp87JO72Y7tMHchAVUmPnWuHBCeRZNv+qDDOONAENLHHGrWBEy3H8SrMS9gNJz0dWnaCV0/6Viy
dU8QQAg7iLLrrAExH/OG1WULdNgHc+/PkBvSgIRihHYRu7Yc6pTGajWRXbFO3O7UV3UQGl76OBgu
1361cwvYpmJaV8Oy45ygc9FLbDWZuFmY9wlXAD3hxE0LQYJHx8EcwHwmmXR5DTJ547q8OD2pqAz6
zGtT74qL3l7ElmyLag32TBAr03zH8/PaZ+j6Sg0j1/xOW++sZwfbhwZYsygBJpr2Y13hDOIgqvd2
S5gQs5d6ldcG0HDBKGYBm70yhulkLUBvTbm893607YE3U5bsDOz/bY0/xGo3kvQbkmIHAmQgccnB
eu+IycxH5poBJ+linStiNBf2zmgduSIT+HEYDe4xEFYYhut9SSzZJLL7giMaBsRNLfVTAjoTmD6R
DE55M/Ar7VWepz6lstp1Guod362PhlN+BefFesCLzvoQnAlIgctLVq57RFAqb4yJLOEX3AWgFlpL
xNUN9qS53pUG+Z2xnutPWIW5bF2uXZRZBM9yD6dcyEGbbD0ziGGs8McplzZNM7e3usfLYdp3c3Jp
V5GPImaatw2X/qi5EsHj/OzqwX23TDfGYLxYlAk65UKq6gZXVRAepURqTsdR1RZFQqGCbZzgKnjC
vqpAHJ1ZMyUJ6RF7T9UoIMDuZ1W14O9mcRT7V5GqaBDoMbt11n3SwVZWVU+n6p/F+25kwiYLpXsY
VIVUqlqpoGjKVfXkUEZJQhomVVdJVWFpInmL82bBAzgvW39km5VRkJla+5xSLghVqVWqZiOYJqxV
Fdepes4g9GFSFZ4vNYQz2pPs9KOrasCMYtCJknhDa+Gx0mGgTsFIjMO+UBWk24ljRX8YJoTu9KrK
TNz8e0vZWVN+Di3hwQXD/HzOLllxnGpVqTLwOVUkBIWmqmIzylmp6tpMVbjNRPpDp6pek/IX+fvz
4olNWSiQRPxsqTp50VwGYAm1MxuzLx7F9MR+Tqe4blSVXVNuL1NzilT9HVGIu/D0ICuye3cPCYW6
FrQ3ie6+1/ZyWVLIU6z2q0XV9rWq8gnYuh0Gcn4p/+M+3UnVD+SqM+DtcV9amoVEdQ3RR/9AI0GW
9snt2nzzz9X242r7r80vQ7ROvv4PKo7uzy64z00wMksLEQ6DbwOFj/+5CVYJEAbqnB876s/KHjQ/
6B6JYkTrrdPxflpte9C4EAKBf/ix9v57F5z+xwuOxhfdtEG6I/+omf3nCy4oPRxobM6uwFQTcLaS
jdCPxWTYx4rQ+myVueWXOYsZLU7a2a8UKsjB9TZm7jqpALQYXXY/xd0p96e7QZ/Oc8QWGNsddrkR
NyCRSccg7R7Gcr70SuvgpLC5EScDtUQBPU28vrCBJ2Tp6cJArSSrnCsX17UXTDtm5t8tP+5W4wfQ
IM3nFUEp5kbmGk2VDxQ6yyCCF2SmcXQ+z7COwraw503QzeVal/W97bLis3vNZHgc47xb9NU8dtAU
QbzIKnos0KB0JtIjNohrJx2/ulADs6gp147hvbGWSleDmz65zdQC/aPrnXzOD4g+pG09ubG98716
ga5ubRPOpNBqy71JqgC2Y3/fTkA4ZnuQhFRNX4HjfC27iQSDhHgFEkhTPUhXpZ3v8nzCOhxXW2Ma
5VoOAH/8uP4Wg2pbT0b1VAs1UFDJ3lFPCkFkLpdtPr+mtROdKByI+3NMSuXY3WiVb9yarSfXNmFx
KxjsHrvAKdiNY34ynGZg/sUiArKO7HAnDqvF9lImd57YFjN46oLsuA2Gc1j7wYIa1cSMO+s+QDAO
7a3PlnodQTdfgaCmsWxzpJkpgXaznkabSm/TEyPgAmY76lsc3csDCoVkLXRCoGj58Si7JX4EpdwV
kl1i6mFGZGBc3rbSaK4TJTj0DaSHjRIhDkqOaH4oEzXbzs7Rh15RQ7nYy6WAq1Pq0dfJTzUkno7W
HCpTv0FVa2ySZKy/wJW0h11EMuuLlgXxd9tndFwqaMfYzYqV7q9wPiLtVWiPQUE+Wkn6F9QPejp+
6uOmgQbSQgXRFR5Ea/pLqYAhkUKHeDqM9F7hRDwFFrEhjNgKNdLgOc8+4CNQSAi3i/FeAiapFKLE
VbCSxVbELAUw8RTKRHxQTcz0zrM+MCcAT4RCn+T0cw8BEXkHlwo7TBQiRfOBpRA18H1S+BQS1LA/
A1T55zD/OMwNzs+/7lMuXr+x2/xjn6I+6mefAh4RWxlBOIbpBGpu+KlP0TEM0aH4cBxM0/yMSuas
hrDh4+OyUNOriOPf+hT3X56aYWLmcdFToq38O7NM+yNQ+LORFuGUshhBD+G2QMf2i0JJ0425NTsj
voqCcuvNkPS69mOrLy+trnhERwwbsAvWSzofvWhG0FfGGHr7vW4Y77Y2wPULHPySY7uCGHSaBKjh
hVCdKhlIuSQVRLk4w47AHVQKxQNnV060QxBs7LR+M3qex87vLzvsLoMxPNNuUBHmG4corpDk+Rc3
KNYaSIEHNBA6y8X8FJdjRGSlShToDLHte/xuKQjG2DCf+8JjXp/a4BIsu11T5NpbFPrfh7F9twrH
DRcmkBtfUDbCXrgTeXIzxdXroo8P2kzcTuDGw0o4cB5yzTk6ZD+ve8g7YQ2liAWG+Oo72VviyUsU
4m4oR77FnuNs09bGNQuldVbEFwQbnMhcGXaZRFfUpua1k2XXugo7TVPkIaMP9r9wbX9HswddqB3f
ojZr8Un1KQFnfrFdEmdeF3p2PwxwaXvWoDhqOHJYx5zHMrhrywhDvoHeaJTA/OxyrQXLKSmCY9JN
8CETHTxa0hLmORxigx1ZLJiquKyKQ9GTgKmlLZS6RF++tKSc7gPhgMFkf8Mgs7OOHH0ZCNfpmzbM
8zEeEmOlVzrTrTLzdxbRRsSRWGe3MQ6N7dcMV6LoZtYqNj1NF2znGI8twXYBgfEkaFZ9ldwIV2PX
x9g49bg8mpdZr5ddG1sw4usEZEXspdAB7K1XyYaI1mHeu1WE8KdZ2NxVHpDK8q0LknJFejI4Sw3c
cFFhmaWWfoF8h6xH1hdYGOY1fykIJj8lsqOayHkfNmlkdJuhctujaTa34CASwmmGaZ1NDg9k7zmX
eov/SqJ5X8X98oa9yQrrtqcK0WwMVnkVsMwS3j7NTCCIs3/BuDSgC3ffZT2IDbJmgsO7amV1PMqQ
HqZ1PKTFto6h1Riae1cl1svg5dkqhaxA/+oV+66dilUbj3caysAD6YlvhFFXqAAjRElxxRS0H3iM
A+8a1wgpEHZh77XSeQ4y8ysMhJ2ngUg2p/ZCg0DKzxmspT1ySSTN1zmwFRvPa7x11QbuDZPvDmQx
+zQQyzy86WZSvDtrfEeN8DjFvPMmtgvaKWYOJEhuZ0XL88bymVuzXUd+ilZPMfWATT1MUDiwHjBa
I0dTEbvztVAsvhwon6/ofCOYPlRLTHcVuc+gsjghEWso2eD6zU51vwD6k25NThHkv15U31NQgKbF
0tb0T7hobhZQgQvIQBOcRqIlF7piCQrKSOiVQGJKad/qgnwug7932wAh9BWNEETEQXzwCXO+cPSC
LeBCHYChi8+HkkcdTQQ6ROV8FNr8airrd2Pg0GiIfiIvaHCP6dLBMoynqOcm7rpHEJiDoMGmi1ol
mhR3FviuBwAXI7wSsyZBQm8HubdS33mJc+Ecu7Yu4usiLmL/0DWa/RJhhIguMoeFUAkReY3o/ZEg
QXfjTOTDGBEBTxHPy95GtLEZM8adI8/dxqG2DXkKn3u73y85a1F62n3iLjgQCcHdj2kMU1pEN/6y
XE0VU5OlRBbKEuq6cGPM9wYnXFlTLcu8MJnwZt9xft5Il34PNf0WuH2NFCUvVl7t3UJ+gTIyPDSO
II5FoX4i+bAEfRI2+nIdEDDW57Ozqmv91Zg4x0nRusrG8tYYjWLVdVG7b8C58qxFV8S6m6u5y9Hz
x9mELmM08kMlzIGDq3r1xID83+zlynPTc5pnX01/5DSYYIOa2wotC3W5s4tsMp2h9ORMuvN7uoIK
mlCZo+VjTssEioZVG/yr2HAIG5qz766VHJeyA7MBpJoAq43BGiE0/IoE5qFh2l+Od+ViTdCyOf0k
Rk4AqbUPVKErSRpON52YFmptAtUG3ViVoxhDasfbNHOCdSG9c1Q316LFkNiMIwwqdidNYiLgAF7q
xNrWkbJdBV71kLvk57EMZ+RHiovuPoIff8tGlwTzqTiN9SRCSA2nqF4encYPuzq9mh3Q8GbnHuuI
9qPP6i25lEgO/Bfd8kHJYm4kUEYYYc9OsLJSa+XA3kAWt6Y1vPOCHCqvab9TIMrtuHDYWn53ykoN
1Ah5uvyPExkj8mh3PnPCFBVoKr1DAD6ZdT/ZksMC4Cm9IwPytem9g9nw37r5PAjtIbf4Vet+s5G9
6DhuSBUw4vcsCPYOWlCh8adR7X8nOutb3Rqn0kx+iOv/cV8qM+Jf15Pr9+J/Lmmh3v9YUqoP/FlS
mta/aCJZcaNc/8BMfiop7X+ZNCNMxX9axn+Ovm2TyA5W3yRzEFevm8qp82/Ru008pI9IncmAazFV
+HueH0YWv3P82OzzyICEgglekgC0X+YCXUR4VbFU5nUlpr2ep0DayL4a5s2nn8yf+C9+pcTxnbBY
VCMQpIFWYJKg8/sBBCnqueMn+XjtOIz3OkJ77Y3DrqlMiZASJsF+2uhpa6MTV8Hcn5u8/uKZsO8h
5k6rkSzyTS6N/DRIXnV6Mn1lzVj6CA9Sdnf5NLaAk0s/YQIMhHeVtMVdzSfE9VJcCx2+iOFVlBCN
2ax9sncBYJNNVAIBbsppFWQ6QmJibtfgZfZEg1VYEIetCQwZoyizgxZqXO3Zj5rvXQQ25Qbf5lNC
oARAF+cOOc6tVk7kWTrkAEDn0cc0o4Jj0x4Ml2NUxvSkxhdmgAW0Y6KhTDVh7IfuhnBfNlT9Y+DL
d0DmL3E5P0slSstJ7VkXc3rtQOF1se9t6Qr2BINI1u6S35CUX4Qb71Mf3UKRJCdkGF+rMcm3Q6nX
tKEY1Asx1WuiIMEwIQvaGoRjGJChmAZkV7ZPoz8XxHbj1mzc/KX3jC+ypR6eyj6EKXeLNWnHdGqP
Dk0LESWUfKEWTLaOcPXEdKiGauDfrPLBVb8EHXowzu2+YerR9jbZR1TTPvsbfn8Z2Y/9dx/ucqi7
zoU2QHrBu0DNxBbC8OZLcyQMZWbtMSZGus2N4pqU5WxrWbBNSvuC2CxCEw17Fyj6ejLif8S5NKzr
JnhhpAWZI78V1TKvraV9SF106TGJuyH90F079gfDyYe1tPQ3vaCQiMf5oUhTZzdZy5U5ISxvkwym
+yK/GYX5zRwLtgsQvkURHHCeGKwaxl2ZOzdl7q/xYLpnzwIj5RbV25LVcH3bZFWSjMeQP1vbjZfv
x97aeQS/mVa09Ss7gL5TTojdbZJSARE2r1UmCApbfI1izHHZ0Br6lHNIz+QJtnt7bKq17o1bwx/B
tDZyOoJXRGk9U9lHqLBs6xtSlEPqGNthERKBeF4PD7lj0apxi7OEdlI1u5+MdJ1nUN1QlRlDftkp
yaHfvLKqujVy7d0nFy1sGD8Lnsb72RyY77UdynriqsYcllTpEBRCoKAPUH2tMbGjOELfAIZL8VvH
ZzcjBHKK64s4JZmixUqNGyFM7PZcQ78bunY/jt3TEiGPmWCZD5lOJrm4yF1eWavKQYA50OW1wwLM
nblWkmyWaS632ZB+c0fK3mxkFT/1xi0Zr7uJZM6cJRa+MS2s3PqJuhb7yyGxJTHo4IVc73XK9Bcc
tfnKK8iym4uXwr6jl9wT+HKshepFWKKQ+mXCxVongd0hUbM2o2XvB9PaSiNhGbPUw87yACjpBrVR
PNgvFSVKN4lxHWlSUrrXu570klmMz1IAukln+6HrdP8CP5/d3KtxW+zbMiJZBjT+/3WM/t6hpE5R
rgvihDmHmAAYCk3yeYzbtnTK0ezO1yONQ2jvouN0Jy4OWRdqr9VjvckP2E3C6MSihWCgnfXD2ktK
858nBqvxwn/GD//+9MxFrI8JhOv8YqOD2ugMmtsv14P3WkeHQCfIbHrRRBn+9+vizz6PiVzLQyHm
2rr+Cy+MwCPHSAk9vzbSc8JMtijeg/hATf9/fJ7f334/vh9+ntyBBkRYLDG//3E26F2d3gAi5Don
6YLqoC+2H//792L/2e/s8zfzyyfpE11vTSAe18O2fcBTsxn2+jeA9rRKFyXPWHgrNwhqtub+y6W/
LsLL4SLdPrSbaHOTHcdwz7D4jKQmjNdiy7+bh//+9alksD/8UhVd2kMDxKL9g0Tzafdd9NATqlk3
rpGqXUY3wJwujMf4aCKjXfXrOTw+G7tpddlsx71DfuGJAccNSKct4JXVx5fyTyFp857+dSF513fd
u/xjFak+6rcqElI5/nBGk7/Fhf8moDDwh7PbYanzc/X0H5El5HKivXGI/zu35WcVaeGqtDhIVPbb
v+0Yf8NzgcT9dw/RB8aDShT/Ok+SgwpUvWmfHqLBrEz66GC+QorZbnWtqBBg68B7cotb4eTrjHBC
rFtkXztRVSOn7O/0EvSij6qhlQvk7UR3zlM1NeGQkd7SAxannGRbMVvt1jS64NLF27ZHE1/fmEjk
QtfutFM5x86uzcRTsBjZSnP0t6pBD24ky02ZCoaXo2AkWQ9kh8feFdhL9JJiYPNRe//L3plsN26k
WfhV+gXQJzADW86UKGoeNziSUokZCIwB4On7C7vclZltVx33urblSkkkwYh/uPe7+TqtFZKtAJ3Z
QJ+OkNK6zW2jOI4lHs4ycreiTdyD4dPjEy7dHc18qALGjpW7TmV+hwTuS+XNfU1omSz1Ukd4xjGb
jOkiDosCWVYor8XgvXGo34UNPyVC5ORgTtw41rDpJlChkQohkPPW2FaxAg50K/LlqRzkY5g1l2nS
vQnD3mey5I9dlMW2PDtBFmTmoNyrRQbflrDI1/Oc46uyxktwRzpZQhG8PtAyJ960C63oM08I53WD
GiJEByGluaos+ZJpjbavi+U0KQllcOePJbXOJrK/rQrkHdYSJPeZ3QQ3nR0Y894Y0DXgVM3XkVCg
/lBmsMfZtig1LGZR7Lz3aEYuBzPcmSg6liBIt64/onEFFeyDIV51HXv+augk8b4ZohAtDwljNBBK
K0YG5CZaQsKhvB21qKSbvyLf21qW1JmA8Ttsxe+DH5N+ogUpvZammFqkEqBWidrZW/lawCIzeZug
aAm0tMXUIpdEy11aLXypUMCMVv+UoYgZtDTG8/Ce6pSVpdm5WjyToKIZUNNMKn7utbymL7vLWAtu
Ri29CbQIJ+hcRDN53G98LdHxcZmQ/kP9WmsBT6qVPCh6wA4g7UHjE6mg3QAYnjY9+h9mfDF69frd
19KgbmIe0xnRcoj62kF3mucMbB2GAlpWJMxFbiYtNYr7+N7X4iPidCyAnXh5oHusQUqyQ50WY5U2
Puey41BRqVvPTEgAsSPsOWWwdTvvVHrWAZAe2pg4ZA7FFrQwLJdRnHkUsWDpKc1+5SomG1kxXdeT
cWxreDTwdz7R+jxnqKHkrG4yZ0AUGZdfHFLn1oqJ1FXBeVSu2MLMbxk+EooTzt0NJOtvRKIgAZIJ
8On5Q2XhGdftPTTlbF26y2vR9JhyDTfeMejMmMC2uJ0i75X821srRlGaZflXtozEklrRfhmUv7YK
g3IdE8YqjFkHJDGyVvTaW0PmzyA1n82Wub83IjQW2RuaSsiOfQ22C5cCWCr7aqiDp6w1Ls14vAjC
kotucrdeQqI7q9c1Ycjr0TVBBofGa9/Mez+rT3VbFivla0lJ7L/0C+7NPLbDwyj9kBl7WB6UyYPX
dKFzbeV1QE6qu6Tf/nMt/rav03XdX1+L2+K/NnULVOD/3oz6H/5xM7KyI28D277tcM/9rLwwYapw
HyHxJ2Ge+cs/3Yjs+Qg9ZSBjOXq6ogWJ/4QKUGZzdpNwqt2NzHL+xs0I2+DXmxFmC7YDVwBU8RGC
/FL+NXEEq90cgQo49ZPSruIRe7HBRAhhfNfeGIv2HtNDvrgOB13oFg2BhobPAm6Z2AWPFeCmeSCY
lNZFYGrGduQjrQ1QSXD57xYHf0GZLim+dFK6emeokWSHHNDaLZ1hmx60fxpJQ4IKw38MsVbTbFU7
b8Eu72O7pk6ODy1G7D6dniOmoNzA8r6t9bfJSMODKeLPChv3ZItLoxzOtUi4gLTTW7SZuZtdYtQk
NvBCpftZ+8JhU13iWHuNeuui92R3mejbfoyLXdx4yXpQiKC9yf3wUHgceu09byd33oX19OXV3hcb
1mzTaad6h2U9nOyXyqqrCy6IesX69d0ak9tE+9z5Mz/DqrxGZr8K7NFfG4lX108TIrMtFfk+J5lx
78LCKzIBBru4LSPWg4tbfnkFMceam1cXcu9A0vNbdae8PD6w8gxQ4bk4D9RCMGtqEEBqTNd+omx2
nNZTCqVv1Lg+JOU1e0wwWJWG+cHi2gOsP9pe/1Zq3F9jA/4b0L8sGgUYiPmJi0YFN1OH5kD208JG
jU4xPCWG/A6Z3sX6PBJ2mQ0OGk5Qes5STPsyxRPapFl4lM2c3Nq59WimCR50vV6wCKlciLZ+XYS/
kuUqDIeHwSviM0pHebGIsg23iZEfpFuztBB3Jl44eu8Abx+myFUu0idtliQYYghWtuaaUSUhxfPk
tHFrhO4kdd1AAQeK1aHb88SDb6D7URnkhoF5YeFdOEPFW4wOJ8qmZ+mm33y7PEVGhvncbBrC5KlD
fGN4d1ioIa+zXw2reGPqBCsy9vdswGpqiuxgCayWft1t4MLAx2fB1izBbgawPxEdXxX5yYv8K3Ng
Xh7MM1uC6rso6mA7DgE5XYza1zLHazMa2afpGS9wlnZzMt0VSX+aR+MBB+5bTxfJ7IzAUZIqm6k9
Czt6nKrsclYc8k1kPcUlSsmkjR6iiaDLjHdIWrGzsyXjnDwIz5XlvEa+evS4mNlzcpNNBpMmPxUf
nRPeqTY7x9pYEWnuhj9eK9O5I2OuWpVRett25pEsojX46ouYqmPw1KU03I947p/0FC+u3PPouNdJ
uhxsRPESOCyCmvnFHYJgn8U6tzBF+8oxxxqxMRBDzTUl5QQWfUzbl7YrL+xwvMpt68i2+IldbsD7
QfBvY6ujbN10zQMrVojo77qU+9wuQ+LECyg8HgEcfWZvixQoHoVIt0UiVu7qEGWtg1mX+jM7Vr5c
Tx1MBGsC18GJyyll1tscmHs9MJizuNB3wzjfxoL1kInUVPAWcCbd2rN3lQ3hp0tdwhjVe7Q8B2xR
k63tYTaxREnkQ/qIa5MFCqe4t8JqV/hsIS0J4qxr6gtYhcWhxGNqFqw347KHi87zNizxvSmcD79E
7UtCwRURRtE+jg1jx1j7zvTtljiL3FzPlv9hpX6+NasChqcnt7NtLKsytRytq93l6fC97ZfoPmsI
Kk5b86FKR5oQxNWfMjFoPcZxS/QOoND0WSXjdRsmh9INvi9MhrY9NupVIsU6B8QEA6lzoVIxTi6f
y9jw46vFAjDVeyyg0QleukH7EGrIQatxB8tSv9UL1gXpjDZBTctLNII78MfuA/ZTs16G9sZJi3MC
R4GY7LcJroKpAQt21V4Ui7XNY6dAEODewlO4GkKSSDyNZ8jgNATwGoSBEqzVCAfKO8GAa3iwoTuA
OLwooD1kGvuQw7Xlr1leEBJcdc38VLp4c1R2w/PAmwA7ooQhsbgoxnoKLlTlFMkaNDGF/X0FecJk
Yy8gUThieqwsSlIIFR6kChk6FSo3vtUaYuEXHtNKDbYIPQRTqYZdVIKSijN2o1J5qOBhtBqM4eO/
IRma2k1DM1yNz4ChAUhDZsdFozWMXB2r32AbGrtRaQBHq1EcoYZy1BrPkQso/mQrmZq2j9wa3e9/
qrLfqjLrXw4rbor3zz8bVuh/9UdJ9lvgPNsRz2NEqN2dP6y8mGMEDpZKKisXDdNPJZmN31Nvu0IG
6xhKfyzJfBMM8m/TT0SHSGj/RkmGE+nXkoxliWkG8JXRZbnUZb8MK2Y1OhAz1XU/QXGkfnquRzYe
+jtehPF1aTbZJ5qgiuGu/YDEguG1bUT3ga++G4nYIdl1iBPk/IjZugp9ooCcLLYEnXy0+rSZCr9d
wfu/c8Ii3gv2/3s1RlcoqqpNIv2PwU7vvXF5TvQ5ZukTzZLOeiKn45D78sLWp16pzz+bgxAV5D2/
i97Q5IQkenBj6VMzC4ZsHS3eVZ+HjwjJ+Bbk8besC64YPt8KZ7pO2CbUPrUZwqRbiynkDm0b+aUc
2JOFjh0TAy2zPs1L3dPH+ixq1nYzwO3Tp76S5sHU9wBWzW5Lsn2wHWZpb+082nv63qj1DQKJ8qEN
sZrP4WYAAz3IDmSMvm3SEiONmTmkrnET4cR/csNvZR0ByOGU4bbyx/6FSJl0LbE+rNgujdApo4IW
DkWDO81fo6DGM/2db1MOhyJ5ik1Yfqz110VAlexwS8bclpnlX6vUP2sPb1y3TzW36jCQmlDneyNf
NnoN1XD7kjFya+nrGPvmXcA7FKUolIyahXxRnFtucI+bPJ8W/OksMrFLcM2H3Pcl937G/W/pQqAf
K2cnB7Nj9O1fmlnwgJaMjdAinnBi0C1SUSxUFpIKQ1JpxLrk6Kg9KDPfJmoRaQ+nidqkD72doFYZ
qFkIe8XNqMuYVsY+aZKUNhZmG+BM90IXPY0TXvExnRTVEOjDTeR8NyXAUl0pKUomOB3dxnJ0W5wd
vIyiVFBeLZnvrtqqfrMr79XWFRg6g3dnUDxfujortROVG+BkjsW3iCcybO2S4VS9NyntML0eaq//
NhoOV3FiP7gUgTGEP+KZmxtToLA2c9RZWCq5zAyAaIauI2c8wzgg8qes501aKoN8u4Thi1Nad3QD
21CWB9KcKU07XaVGsYrP1kDZ3jEUOELrsF9LVrvEZxFcGwMORBRF4irF76za8BiRdLKq/W7aO2PE
SnFQDlptMyMomBI6pZZ2MwXyFXAqdp8oibJ525e4UB5Ht2ZH5pLR1CF4i3LnvopsXEVGbD+lTqZv
Z9qUEMBtNDt4PBFmh2rE4JJBaqzCPSHEwJeovza9aouLVDr+thwjcyuV/VqPbrZlkg46NuGRRmXm
rZKpRZ3t2mvIC5s4CKf7QAJHqZPkekqWbxqxmDZxsEnTZicYOQ450VcL+WPbCkj2hkBdyiD/PDmO
lqCsFxE8p26FBp35Ux8kO6/vj2nA9Q6CvZjqmyIddnI0EBkZ3SV4WPiaY3/hJBWxKPn0mDvePe+u
SSoRuVdZezM1w2OYh/R+QGXiSH10nvME6OmlFD4my6hZZwW6vwYE8c5T6ZObTAy5FvyZgW2y2B7D
VaVsauOkOAm17PlfLcJ1MizZvfsqDU9SFRrb1s6/z0vzKDP/STbpFfzOj7ZbyEAp/WuvDy+8gbrU
aRI8tY3CYt5DrWfX+UFJcRdY1YkPryFQGBRzn/uP5YgdeCnsfu2qINk2ZHMQpeCwuw+h8xA+X/d8
mWa+epBtyPeCzcXSnflyf5cRXD8QYM8y6BKV/SnXyfZgWnuSTWh7oxElpJ3SDQx+wDq3NJdtlPdf
RoLerA6bbNcPIa2XFOcqCg3AVMN8sCqTBj16N+bylOTLozEjbjKn+RO1bXY/IxADuaMOsqMUKmdU
eH7cfIJ5QbzQCrmuy+oxDbxLgp8/UyJJ1rElyoepag9GZSGBGMp1JPk0Cj9CvQkAJoigaHrq6Jcy
IoZsYODJ7SB7gm0VqZ1lwbPWlcyHV4WIjfaiRTOMJKGIqy3U2W7XRX0Xvlll1/tX/6mIfq+ImOn8
9ZzqCpPQV/s1/98xlcW/+6EmQujDkk0zsJg4Iej5cYED+spn2vRbvUQ58scCx/vvkMUO6nJGVD4/
7Y8ZlYtnNgh9VB0+1YaOoP0bBRHEjV8LIjRkGr0V2JrkYTt6RfjD9qaUKERmrEPn0l7GnWTKhJ/D
f/WDeFv7wzOyt8d8uWU8sUd4trWa4Hbo48eoWNg94NFdSyffNNV85Z3oUz9tlT+WNJ4b026z/dxW
dDLMEiBfHGkkDyKuiKQe6p1rtih1xowaSJhvRjXKD7NHpWOzwdgyPY7QVmdIKMEQRHF7gbyFVtRO
nku3xvUZvi4G31sZtGuVNu9zlpN1a7+3nvkC40ZzE6crNG/1ek7yGrGIZsUgAHHLenzG7fKGNTK9
rKBFbE0FzkHI7DEfijcx+8sRNvcx6oga8wJa4MZ6Q/9yDpm/ITO4D9t9vohtE9btiqvmcUjSVwwq
0Brr56414gsYeJuwc9ZlNZ5NJk9s2M/TnJ6dYVk3c6sV9cm3WvbXiGmQ23rqHEJjhA5pHR0atwZd
wlyvLeteZxL5O9nnr42FsIY/cd91C423ya3k4MTvQVGCPbeCx8iJVrXbdYfRCyvtVNpnkXHyylod
6h4+WJQOW1UDJmYZgLh02Tko5aEIF4emLr61RqIwSHFhJARGtLC8iLMYbuYgPIgM7byIxmqfVJhv
09S5KCp+H/utzo11fdR+iGVmiyG8UxIsm7rL3icvCrVe+6T69LqQ4Rmn6MbLKJtRB59UrCn69IMu
I7DemYi7FAieAULjQV1Ya3hqxKyfOyAa/a6DKdyXuHC5qec0dFd9ida1999daRyRrfe7obNYSRnz
yrLmW+V73do3iYprbGgXWbNm0HBXmWWG5KMl8Ml+dJGNNmXRboXvBafGMI9FUF/JbHoby+kp6boP
2QRqY6o52iyehw4/o9aeW1SkedYfARlBwCLbc0jZQi4BjAM2aLdR59hg2KZDydZh18YUZsvsqVVe
H20L2lbmB9/5PLiX5bUDnT33xN41C7EuE4Y9I1SvubDvs6V6I/j0sjfVVb0gx1366gJN90kAorFK
Yh0LIY/BGHxkXXwMkxhfAptDL+geVJfeU3DCefTQV9UXA7FUNTbTHAaGIaq3qisevZyqr1jUybHb
S3uor4Yx18Em021RjvspSk/O4KHd5b4K66PZOjtIIIcmTi5iRzCmne1LSQie6sSNQP+2A+JMun3/
onwcUp2z7NIWs+1AhTYv/kUbWnduKi9RNx2cnAEPaX/DMRvJ4hPtFSvY60qOn10KVSSIrfuu7p4J
X7+E930Fam+TxPNdJQoM7Hzp84J6R6XPce7v3bg+lF4aHFGp771RaV5Ef2VXOO0C3751svjoeNZt
aYwRfQfRDEN7BHTyIiZVrAMBpC60hjuVuJjMiB4l6JHuaSlfhp6sr4FR4txvLLZq6yGoruzCe8Ov
vlcGg55Q7Yp0fK3a4dC54vvSxSyuUzj/XfSSCtbjK38xKkizKeKuIkBNhp/O5eybbPsCKwSRpF5x
GcYDiQSYnPuBESsusoSK0BkLbMKzWiEPu1IRtok0rD5G2i4KheJsiHDf1OEZ0mm2DtQE81uYW1Rg
T6lJP0FGq50bZzPK7hf9EdqB+yEhmNSwgG1LsfMynicxXpMUchY5CmuPDrCd1btlkCSUyhiOTUPo
Ts9n0ZrurhridN8E5Zu07as5hLXXp9qdjJiPafem88wnAkcumg5FXoKVojNuR7R3a8t58OOB5Lnl
Iyv8+8Xt41PlNpI1Y3QngQMYlUCg1BRbZ3HfTOntfSui91PuIetJJVXtZB1yykzLir9ykGEEL9aC
xfZ8Mk205yZdz06kSOwahv48FHJtTWwevVgcqHpeOpXeN9Vymof4IWq7Q2UQFTSp4KliOcFrfoAB
9Nw3yXicnJucnO1MjGsr85jPldPedepr1ccw7pYO+eJ4MAjJ65fg2Hbe7VKYhzYOeWvMa6Npq1VC
Xw3l+D7X3Zog7XsTtIp+ymR4ZntXXcF9vy06Bt7bQTWUz2WKnz7y/EuronMpESPsksZblc3ir9Jg
5Nu5nHCdsnZpeUlAdQ/txB4yrsIbgm2ZMtB7bheDubBF2BDqNAyK41B+sFmhtgPhyA2D550yfCOt
guE0qURAlVh6pJup6LlixnC8YMNLTW/M3ysQ0C7fYgzxRBPaWWuuvHRiYVwUz+RsWJCYvBZ2e4B4
NOl8Y1XiEl63ZUxv1cvrClPGS2b6uCpBXxq7IVDubadAGhXBAh9HFQ42shGJPw3SQraFaZyU3V4Q
enljBfnOmWDQWagdmugubtrLobFiBAkVExGQMmwPXiLFXtaP1bY1kR+O+bQfnCiHNtN/jNmwNjHk
O5F9NaqZSybdkAK76yN6QLt7kERfgmhK3jlZn4TdHiKVXAt3+ooy+xILBgCqJN3yINWs2OwXubiX
hBVdkWVtr9Hb4g3LYeuUF0xxiCyah2DjtdF1JtxNkdd3GOxThpTLUcbeyZ3SA4KHVZzLYxkSwFeL
fMOsGT9AZkPvLO+RD2IVnsnzrKqHihBF2Bn5pUjVUQgDQTEZ9ma7t6bmCOWWkUVyjP3mEn/Xs6fJ
eDQYrc1Nawe7PJCfUbaQvhLfThGVwuxKMmGSbQu2wW36rzIJT0ZVrTseumkaLoew+PRsQchBWAHQ
Tu9aK9tiwV2HTjav7BKzyiTuO+207ivEOaRf4ywia6pVkM3jTRhlgsQAmP+ZeSgH62UMnHWRmdPO
haplQziitGhWrPUbTvf8pbCHNX4PaD+ttQ0BGLIoLMglzZ7CMNrbwXID0zrBu2A+zArCYyafa9MT
G/h9NERIP6O2Bu+cqWELeOGMsuAcxTYorN7b0lhqF/M+C9NjiK96hzL4csyXLzkjvJaoLTnf+5Nn
8bDEtXIx7/nM5eF8bdFMBte1CR7CYT5cBLjae3FbOCwtWcTpCcCuw3YL6CoB9t2J8pDM3qursvk+
5KTZ5EzSpymAnY3OYHKXW5rbV8vKop1MmxcxUr4Ib9jl3Visq45XHUTmIdRHD+3paqzZFsTwE9eu
zK8kI7U8NpZrw2ovpRk3G8tDHNK05ffRnDpKRBTAzLa+z/m8McfmPk4nuS+W8qh8aGpzPxD9rG9t
13mZTL5omaAFbqeQJdbsnM08PeeKsSbI2qOfLMhxo9ZbpZP9TOJafKEYD4Zd8SqYXxz0153ca7wy
Fbd5Dl/lNUiY6Uvn1lRTegrtCpGPPMZSPFhYmZbaZYeghn0MBVSU+amJBasAB+iSW34fApCbDs79
2A4ecmAcKQaxfPSoM4EuYVx9mc3mLpzAcFXSP2dmDMAsY8bhzKiEsqemCF+dyb4LOIcvXTurMER5
9c7qndelDI+kaBjrDDH/vhr5wQYs1dpM+41kOX3ICtziXSW5HWOnFPb9ZGYWbUTbGg6LkNmxAKfb
nrG1TBI8st+Vi38pjP15yU9YJDRktAQ+Y2vUBvDdf26grFSIybKq9DqTclVVV90yrcJ/8KX+8pf8
oor9xy8hbp20SJSavu7ifujS8oiwe3TY6bWYj0Z1JQyE8M5Drx5+6F7/xKtBJ/qjHvT3X+MznncE
5ABMxj//mggxA12AoHC3vqv60bB/t5//5cv4k59PBoSJxkLQbLID+Pnnd+HMkt4ri+tK8aAhGn//
238/6ToW7xBvlBvYv4iUY59gedttymsmtqV744a/g0D/8u//eXvwj8/6h/fnl7+fDHMYrRylJOLt
jXKdm7vW3yDZmr6KbPOvX8qf/CpkK55gZeICyAp/+SiKgKk5WQn5tcgOmPFQTLHkj50117Ah/40W
Wv/ZP2i79cf+08eiH/Efni5hpuXoe0WBCnqN35Ocb75anKnzuPv7L+rHz/+XF1X5QJGG4PdfZONG
xBuR7LhH9FUs/82z9iffSx8iCxY8bkdNWvn5RdkuyhEu3uq6s3cR8PNp60af//rl/Nnj/MOv+PVx
WzqXWskV1XUVvGfRq2P8Px5noOgOPjDkPEyLf34JWVO4vWNY1TUSEFKwIfj/Pw6vQAvt4XTytfEw
lP30yVdGRX3vmQRI+O/KP0MVW4n+/l+/S3/2JPMQ+0RbabqCRiT8+HSFEJmqOVjAgFP4zeugWZnu
LcyUWm4W+988yX/yu1BuIao1fSCczJ9+/l3EaLKUzNzqOtE9NdjldTJv/WZVU2Pd/fay/qNYF7yp
fz3y3LVfXfVnujz+1R8DTwLNuAiJyUWZ59tCzxT/d+BJSgCQKy4ABOhg//hW/jHw9MECuwxJf48z
Y5fy48yTTXJI3o9vYSbkSPxbM09fP9X/PO9QrIdMTkPyhnyubL5WvxwNeVmYIbQJ/wzy7CLum7G6
6pU1w44tRymJHYPlsA8U8ycGNPH0RA1HS1GHsEzRBiWvk93dl0kzb5KO7kn1wx6WzAaPEq4tUVkA
YIjRqsPswwa2jlrDTbez0RFuvrhnZr548wvjtcadXZX5sxpqM7/tfZnc53l6CNVERBDu9gI5RyxS
45xHEEAR0OPyLY34dZZ9coMROfVukmL2b+CDYkRzwOLZK49MgXrjRqWoHjzf4OBDrKK2HXul/rox
wPY+Daix2HXn6jm3GJrib6wPaZJlbDMYzKjMuVCDeweDdt5E2KXFUjwMTkr/mMhPgA2E4iYDmCP2
XG2fsTazP5IqA5JqOGdvsJ69aXpiKuqubVSBxmhsjJLlR6zZ/I6U5iag9KdWw+VvOskzKPgAD10O
Ld29zwMs64Sqb2Yj/WaF/kM5OF/CAYXQlbwpbtDf+jb5jDE+gAO7J4MMSpm/zXaMWEqlB0Ea5qbR
NsSyCB6awrR2dZVTb9q9sZoy65CQFVyNY7spVXq0E5vlZJn4q6r1FyJs8mrLyLBAPTKzhrduI71/
WWwOksqxDnWOCY/WVa3DebKO82hioBzEN1HDmBg6LuXIjeDed/uyCt/jpL70Qp/wSGCHgJjhRi0h
Km4sCGHS7abI+MbGaleI6Ugg8TluWZeNUbuR7QJ3t9Kwokh+72vaEi9lrjAY5adKQsLn5+qFR7pf
WeFI3J7Wf/J43TosPFkL1ufezQzEg9FNEWIxjQmsiRPzLpK0dyBXkpWYWneduSNzUpRXiVu/DJnF
URz3Fz2fYN8NO7dJ0v3kEnfhiabeLhU0h3G+nhr32ez6M2maD1lfY0oQ3VMZJ3eJk0AFEcPejLUF
wmPWMCbt3exHD0IBimgGviImYCliTdngpymdTRvdDAjf5yIyAG4Zn21jJBvhyHw/uyiVFjMEsjAA
14rdDgAXoa2mMy8XNWPDbK6BIAdQuuVQ2euSNDw25OpEdMS3okhJQA1IoO7SKy+TcLmEfznXg7kX
uDJIm27INATD4pgZSnGpdnPYX4et8zIi7ljzVUcjMZceU0P7ezkzcc1lfTcsct0PPqTJJln5/sQA
u6oBz+fjo6WW6mA4PJ2R1vV1RQquw1poi/wXV7n3Fv7O41jnOHJb64hW2GY6FxAsaBBu4GCgFQCD
d6rJrtPY23hGflcW4zlOeLZV4hMfBmEnLcMb+q9m5xWIShULZ/rFaV41lffAontci1Z8jywHGEHx
KWz32CibRi2GmhEZ1pfTGU+dhvGWZflUqt7aWuFwD1bB3Kde+VrPziXt/EwXC4kR443PUP7WzgLp
g/wUMyuU5sMGWlJbLtMQw5erwW2uPE02WUCcAAH7aG3rtaEKO4SagiLBoSyaixL0CRkSrYdIU1NT
IPN8EvDTHYVPdG/VM46VokAOUM/sXOndSgAsEjJvX+p0voQxkTlEatMO2GvprTDppOI8EmuxxfH6
NS6oTioXeaHmvYya/JJrBgyKBUwCQwNPU7BZUY5iG8s32WRGfxCMlc6pJsqMXTNhB7eSjQ1uRmnu
zBwQZmKCosk1kwayA2QbKDWpm82bOUvkVQnCZgZlU2qmTanpNpbm3EwA0teyzT49zcDB/7FsXbA4
sWNrPg6knBpkTk7yySahyN4FlEIrzsNlX4HYaQMGriB3CFnc15rBw8DOY3SXhsQoKQgQfRnuJk3t
Qeka3XrYd3a+RvqA9sn8lLgWTftBLE3smh8I4nRhASXD8C0nbWyXyN6+sCQqJleSi5HDUDokVbU8
Lqrks1EzYAxNGzJQeK5ii0wGFxSRXUY4k80AeKc7XsbgiiKwRUa6lHog0O4iFoItaKM48e8Dw/dO
S8dqIdH8I0SgN3JIHioLU3a+mPB1bMR4A2SWdWb3n14DWbDUTKUpwNw/m6D/SNmaVmaR3PQgmGjg
xCbXVCYJngkI74mctg0qgJtR85vsrBHwaBVDDeBOIZCngOSeoosYNvkArTxNgipAQtV2MG8BtGHJ
XeBFCaGezCF/r3PjpgAoxRAGDQKFMVMCEwKLI78KGKdxKZxdr4lUbQqbakitaqMK8So1t2oEYBWF
LC9tU4wb1bDBrMFcVQHE32zK4qcmgcytoldPM7Esvro+kKy27F9d20AH05/lb05x2OSRa4VbUxO2
QlBbmFPQvGj6lgWGaxFSbIwivWLczWKvzi+LlkrE4U51NcULJyCk945tRXQKNOcL1PoFaNpw0+QG
AajVczm356nCSOdpSliLDIsPlHm9eYnP6ZsBEERNaIg9ZPRVYxyAWn0BRth1miHS+XLbSf6rAi/C
AvC0xJdlhsYH8giU7/dwyD6SjsN3hAyZtf5xSImLcTW6pINhsnRsSTTUJNV4kwz9/6SBJ2lkoY2G
gQIrBca669+nWcz/mQN8hJmStoW5cjRGBb9iuqdye6MCO6ZTvWs0csWGvbJoCMsAjcWDyhKF6tm0
+eEa16IiJk0a4GKX/Scg+efYB+0iYbwIvyT0pXoybS68sIr3jPgANgb2Gdf9I9IMNMkaGWPI5kam
4Qm7EYQJqDKDAa/Xz1wTYkK5HzR6ZtTDUxP1FBJT7GwaUJNqVE2loTVkRd2XY8NL00CbhLoTZ1kK
rRE9SOW0Rx/6jYKCk2gcTqyC65lchxq2FpoQK9i3c7Uxp1MASSfRSB1wiOUaRMg+y0bSENl91Pby
YcPh8VT8EcDlwUQIYzcSCR9W805g30iknspcLuKxveTrw7JjwvrUB08kqq+Is8G61m6Dgx0XB4s8
27HPgUbZ8rby2pLYvCr1SKlxXNN4Tsa6FusJNGR7AQ9BlZgf1BiMLLNHY76d+XQq4abGxolw1seL
r9JNEOYXtRL8FbnBt81o9wubrlVbAzHzM1DZuaF2qVNvnDIfNtFYv5DGu0DVBzo1zrG5JSzi0W6r
e+VgXOxs53uTtc9OioaNGAJeKbve0A2Pie+8y2q6mfQ2ONF74URviKm7OuhWbI1dvT82UMdznbBT
zvV2udN75tHSnx21+RDOwC+TU9OaDhoCZzP1/nlkWR2ytGYig7CJNbYZAikLnZOp99uylh/cLTO8
NKLGWYF3ehfeD+KLTPYKqR178nkMDg6Lc4LBEoo8WMi0Euxa2K5DGvrWqpK0d/burt7A4w08OU1x
Z0GUqvSOHmmCOnDuEtrNfovd5hqYcXcYRr7Resff/bbt13v/DgEACioIeUgCpNYGhGb+ljcs8ZLr
HN5V5s7/w96Z9MZttVn4rzR6z4C8nBe9KdZcKlVpsC1pQ8iyxHm6nPnr+6Hy2ZFlx0a6twGCIEEi
UzXw8h3Oec6iH/SdKWti+5zuUgFyydC1OWUmGKBZhBBoJKGhSigC9dJ0x3WKWsEQ6LGyhTJVpAGj
ZECA+SlBttEgcWjs5gNLYRAKiB8cuRmQQkCM8Kh7L0ckEhFyUXfWTOiIJ6ZZRREjp+AX/BDO+m6b
WnAVzpoLToUHY1ZhZBPL1wJhxjArNOpXrUY2HftZvUEU9V3ZqTAdkqu+zx+TWefR1Q3fBPc+RQAS
zUKQWRHyb0NPRYkMm9HY3zf0N4/5fy2j5+AnPf38g996eusP1dE4dDDVod3W6Km/9vREm9NzzGM2
MlosfHh/9fQAkPjfKYNsAgBhVzBB+6pjEjM1GWgySX2EAGjwNv+Bjgmh0ruefpZJCQZ9OkY7JgXq
/N/fzDCjOA4htjf6kVsYlaI5J4s2XmuZycwZ6kvcM91kS2CuailYgsOOv2lRJAdIJC/IlrQfk3CG
A1YesoGH2E417dxrNcCSGJcKaJsud0/k1Ez7QG/TaMe6XNzqgiiSnVarkIFdV+EW83WfcCuLUFeR
JLF2E9luahymYEpr/GqB1R+lXkrzqszSTWfl6bPPOndZMHEARW8g7N6osaOt3cqJumusqM3OSEWN
7HZCYLjyVQLYQfqCMLarUD2IOaBdVhUU+ByN1Coc3MqTlWxWrTpGB7MZjQvfnyDgxq7vPrZ1Hrqo
LX0Em7bB8p8E7PYcCnP2Vz+wtnyKLapaxpGZV1rmc9lgl3ML/MFdVhlfUPQgoWBJWwVYMCbVXDeJ
0j70VmAtOqFGkdcnreY5bh8jGWicT5pC2+dC7H8aIjbq4OXwJyl+eKEkAr27JhFuV+2wm8qy2hgM
U6H8T9znST54plMyHZb0YC76eT5c0Eb0BXVf+3QW2cFpXaJ9fGkfR9OcdolBGmEkWIQZRJrYUUXh
E4hkoZM4A+Mb04yNoax03GfHCJWN001bhkAnPY6szegjZ1bqGcjhS3SUxnBnhIa/xAXYYSwnQoVx
0aKlXm1C2V8m+tB4ahgCjwKnvJRMPlexUoqTGiTJDeg+/Tq3rPw5Vg25z6oo/xR3BmOAqPqS4/I7
/HtqvZ5aKlO5vz+1Nulznv8ou5x/6OuJJbQ/HBMyhkGyB8Gj8zzx64lF8AinlcFfTNUFR8dfJxaW
YlUlOuCrPfjNieVCXxP8WfxtXvZZ4h+dWNb7E8tkJs6wmj8TfDCOmXlK+ebEyokiEkPruCdBuBKP
bRz/8NDnMAldyUOxMsOs9h/cOW8CnjrRE9mcQjERR2HF7oXM3YQiN/lMqM9+RuICNyBBxzAwRZU6
Og8P4cAuH/Rq1XbuFcO1FwiCETQGwqFbsVFsASwrYsJSbdSg3Dg5VXGpbJUo/WzKQfdmD3wQ91cJ
CraF1cglU6qtrQpkgai8ddl7kVtAH4hHtGwYJOjbIgGnHW0V4jB13I4aQ/5c0T7HmcYyvDN30rHv
UM7vUBg8UcUdiQJJMTLw2u5djA0wAEjANotnOTqs3VEfxG4zUsMV1WnC1wfkicOn07ZVU7D8Z5jW
NyqZDroiyU6x8x27IF4tzPplXUyfmHMenYns0D6uBZBNQ64Eg8zQEJtYb4O1THQaDhnYq7jXHp0E
mlQNL6wycPBoRXufDf4D+HlmFcVpGDHlKnBB1lktSqxr+Q7bCc6UCPuKBi9rqfYG1M3MKTblDHJn
YkfMm+sCxBqvMjNBiE6gJ4ENX8asc2A25gbVsY8vGMaUHoyPhMmQdKVpL41Q9lrX7sCYX8Q422h2
aCc7UhmZDbc9XAItBoTJTHGwmospSZ8zJe/v+DwPjfkwZdbRiOpZ3nlOq3hPHvZNT+I0QvQkrpdg
pSqOX5G3FN9wLIJFmaZFSJIjXqLqcghMe5fWjkGd2oWbCLDDgFOkco886MK9nRTIgKnYdrwvJWlc
CAk27FzcGz/xSQlLxzkxrCoYYnZzjBgPOiNdpnO4mDYWgB0AB4sLO01bMLSWsyVhXr379zh8PQ4F
a7O/Pw6Pz/mX4in62WJm/sFvR6L4w0GKDpPcQAX5Siv/diQaM/4clhA3Kx4vl53NfxYzhgqQckYp
oG4A/sWp+VcRB0poXrO/FoT/SIhuWvwpb5YygAZUk3IJxrnDbobN7bvVnU0ioZOJQDlpCqVQE8G8
M6ZntFtA9k32Ka2uIhuP13IMqJ345slrl4XIlbA70DELu8jt6wBOMpQeMsuWba1JUpeR1D2ZitOw
tvCzWSVsbFBZE4gmnGkT1D3/ZLjGhoNaUm0QnDZAQlh1peJChRN3iErUp6AiaK0SQ7ku5vC1vkXR
3s2BbE3B/6vbhLS1iZAP5Wtw2xzhNoWdue9zex/HWHBRviG2y9CokPzWCtYng1AX3RwKl87xcCk5
cVB2jmNAcFxGNQGgrrt05lC5TMbByp2D5uQIQGecw+dkMjTkHULSw1KyQj074dchrG7S+yW+ovoc
M1eZjbHpfTeH22nap8hg/1IrySWeo3DJsXQVIy5e6CTjjWrMbKCPsNGV6HEZMThI5Y2GsbrTEaxn
zxF7DT3+Pn+N3ZsD+AA1q6varEjlgzsBRWeO6utKdMx8LMqJcGScu0R8sCfQvYZWuTIwgSVdMVxN
cwBgXhvJ1UAmYDGHA7pzTKD/mhiYTFO0VpQlcZVEcqc0s3O2oJxTBqfXwMFhMJwlbO4Z5xeGaCfZ
yfk3bNnKTfd6JPHFzne57LpNVhMQ6FuKc4yMnlO6cX0AhPxwftSq1r/S2vA+DU3GCLn1GMjMXPQ1
HGbNcO8TrQkww5cvqsspDkfoIvVRajsxYkO43uyUs5dwMpeVHjSnMWOpnUGY8wzpJIyZEoyFnbWT
XWXvhYkpvENKFsZk6gHv2Rghf3MlYOkBd//CGHtM01Fb9vwCjWgRh8quF8axQ+O+x2EBp0JP9bNp
1kAJcXvNyJ4BX5mok2BZxojeZOVCt+eLduqK3lrLyqwOllEAbiwKcO69wDA6tRs9hIrY2ctGHTDF
E1+5J75cX6RdoK1Nw3fYM2ZrJXO/kNFEhZFdFW37wVf0Y11iRWI0WV6ymBt3wpIzqH7aKiaki6wx
01sVTASR38+NMhyi1D5Ehn0xhoW7smPSz4dxZTHz4DWfnDG/MLPsgeThA5i/iyxkbhi1pn/MHSjm
GUlP6zYMbsJxCHaMU3cy7rZJxYfkhPa+nNmqSmz7C1Doj0HLFLixotPQFcydcmgMStNltB/MSK10
B0mQWYV8zKTDMDPRSCN8sUh7aZtsLSe8FYCz1K4GrCdUvBE99tx4Z3fGgQ0sCysKj7AxQ0Yp6Qcn
VU/CaD9YnepQj7iFRQiDa5FTPL2UlXYNzHZnoxPVs2yF90SnOxjYqiRe3HWPoaVvLNmt6iAgi9oE
qZXk104hvriY/FhVzrFm47WhMKMCIXAcKyAYieGVfMZZ3DLWof0KYLd2DIYXlHBP0zjegmsCcZTE
O9mGZ3wTp8yhJUT87g/F1s6wkARcPjXVK5YVzGhGj4H8LvdRMSIvnlOqpzbZIuP2CBrZokFcw0+b
g6yiJ8uZd8/lVuGBnoT2aiwLtPqqQ/4L3tAGGWLcBmcBFivqgu2gOsusUC4wGq/HNIJQjfAiGVAy
Zi/CwJwhtSW+b89v0meZPhd+e828jW+kyuaHMXHPPhMGfk2ACnt/hmHSM3xGUYZzUzfW2iBpxwyG
a2Nwb9N4Erj8mYExadxktFT0tHwDfYbrtroG6/QyVtElJ9yaetir2T5ZDrlqQR3udG3cDpO8U7WG
SbJzA/zrzgnr6wAdd5vRl5XPlaqGHrFIC1uP1pFV4pZjhREYK3b/XqDDX5Hhsej0a+ETfYH/SEgw
XYTPoTfeKm63dWplrYbpTcyIqjFh6vKb2r4LlAGhrq90h1pt19yKl7XrrJle73Ufo8BQrdhiDx5k
LiKy/XxhGOIJTcAdfxSZGFipwOOWVONhhR6798a8f6zz2ssd5cCyfzcRxVeMrHY75DWhwkMiLHFv
sm1jbWzZG9EwbWvzh4bs3rG0d4xqViXdrQfka5s78HiHrACM4260uAOtqn4qZHxdKBqI94ERd8t7
566CvNnajcm3096geL3Ki/RQAsPtlPYmjeytM/gnf+43DHTTvnYMC1A6eRuts5SFkD/T0ntAQc5V
DPRG14b70kqXo1RbT7g4iqR1Vcv6lNfmNcWiunC0+qaFZNuVZBRICIG5mV6kZoC8vFJRlwdHOR9U
U3E3Js1BSJNtEXChpmfJ1DMjmIueHIZ7/kGW414TxUERjEcZmPtAVyLowDT5HkivPWrHxdT3HvNw
HjzxF6IQPsRNBmadaQcOp+aemfhCYHLDm8FmUPtiZVBom+oukeEOscqJ8xY1uUw2Wl8fIIBxX7IB
wbGr3YdmXa5dPbnNoMgtqoEkKF07x4kTkwuLWLQgVYqo5q2fWF4vFGwfOGO7Gl8qxmhPG8XcBdEH
5uchsHB1DfshH7+USrlSGFE30mTZimIr8+GixZ29attgJUMl99jOorNuPWzjwZLIuG2nOF+6jiD5
SN0Enb2O1GGVFwy3sjoeUFRM6yHLD7hvD7IxbwlW4VnT0OfUaMMjbNJspPcgcPiuA7VHGiC1Ypcq
zXFS+vtalk+tI1dBTI6Snw7HzmA5kak8/t6UtOc/BTr/lbfZuYjypv6f/36n6HutELERA+/Sbc0F
q/V9w4zzWso2ypUTGu0IylCRXCvQ8n99kXdayP9cxJqFgwgv4SB8fxEWfZCqDU05Dc5nSVJGez8U
5NAuM5TSv77SzwpesBffrjT/Jm/6/8LHdzn5XEk4l6EBX9HGAT7tCutj3D5EcAt/fbmfvnvcTaaB
AhMCxrsXJgj+cAjyDM6d8tC0hwqwV/r060v87BVRLVMscxkQo+8ugb0FeAJIn3NnEMO9acdxlTKm
z4JNBINFNJe/vtxPXhFyQpoWna+EACDy/Rs4h8WIUW2ic5QHOD8q/AabMvnNa/p+SvPalnx3kfm/
v/mUal9pTMvnIsjJF428iN1w+f97GfPLfHOFrpmaTpKafZbl0ZqzUotbn6CdX19klrT9JXn78WW8
+2jKZEaFZ3V0HhRGIKbnRqCF4FjY9+A6rPok2vo3V/zZp8MCneE/3FeTtcD3LyuJnCzKYy0629VV
pQbkjO5s/+XXr+pn10BpaBkWwQKM+N69dT6LdYt40/hMWusqY9OUF16ffvj1RX721uHQhkyDU9qG
UPP9CylQ4thRNMR8Pvc5Rlc6xXi2TUCMag8GC8zev/r1Fefv1PsP6+0V331YoUsxW2pjfFYHhcnP
Jzg7vzkMtO/fOYiErFxspp/MM405AOLd4VMXRpiEg5ad4wu5a3Y8PI+M01fmVXhtevkqWjuesv71
q/r+kn9+Bd++qneXJGYsG5qyi8+dBdMeraRwORSK7a+v8vP3jlQNlSenaZnvPi1r0iy7ydT47Fcu
1LODA/n011eY3/33nw44Zr5ts27efv/FLmsREcWmxGeb1nd0BNXmQ2SwCY/j37yWn71jb6/07oBD
2MGwz7bis2Y+h86V6d9U02+Ot59fguHzbCrBvPLuqxZBcXEMOILnPD+ZmJcG6FyitX7zqPvZLcSX
7dtV3n30mIvCZgy4SpQ8pShOdMgg+IuT1kuaswI80fzNZ/TDyxJsFVkCqhqPIhT070oF4fo2E+Ei
PTfdppKsqFbVdP3rr8EPX7R3l3gna8+7gDc0rNIzGkBGwAEaMfM3b9vPLzEHC4LDd3+ws8TDkCkp
nda5Tp+UaYcH+jcX+OGrzGvAL2NynzB4E+/57xyddq9hfz5T52Ut6YDxbka45O7z63v1r1Ze44v1
91PZLQZcEArNj3uq+ee+DWX1P2Y1vA6LigclBe6bPZUB+p3d+LzEnxPquW++DmWBqSFgNxn9fZ2+
ft2sv85rCZSy/9LY/4PN+vd30vygYKvuzjeRO5da72MnmnbsgXOa/blV9wEog/G6qDdv3pSf1PXc
le+PVMbL3K3gTkxhEcnw7qDTABXCfK7Ls94TyEMg4uu0K9RFrp953lZsZQprSK6mIrIolsPQvmNv
I5IrRzVHL+TBIkiSLb16KBgbDReRn+JtjFYTJ/WinXQw6enZN5VlWii7sXa3SlXcNCr9zxhSdFf2
9RDVW39kaxxmwzqPGm1pGtVeKfuT4iSfiWF7VHx/2ZblLk7jO9a4SMOiEIxHvXIElU3IHaQN8gWd
3KZMo36ZskfaRJXRegphIIvG7LdVh16pteMPtrOt9Nrj5d0FlrpTXXJSdK3cV0P+nNYQtXxc8IBV
n/1SZTiblcx71cGBNS3XxLVf+Mxjl04+0x17dtylrX4e6nyvG0pGd5bfdlqw94X4IAcGp/AIPiUZ
0Xrh2D9BedqPhszXVVyS/Dn0S7eydXKRfdPzC3kjoxyoqVE0q2DUjzDCcJ7V+lVKVh+bx/ZOifX1
1Nt4qYTNQFQ0L7HNrMWJRIEioTjnhXGwe2msSobAcDwqhkvqwJapYdc2xC2VRSlAhHaMq4xy+qSB
ttD5OMm7VK7NXoGTJNJbsjNLpEvJPV57cAB9uXMJob5Mm14j4y/Z1+gKFqrG3B2C/0XQPOlxsXZb
dIZZLzxjqFD7pfknf6IP8SsH8XKAj9pp5bLpIKPZ5lMZwb7rR5zntvHk1Fm4dOLoxcmQYgUGJJOq
cW8BFr8YUe+pVfQcVQjOtTrehkKGaPUcryDHrxP1Zy2OVQjzWAzIjtqlUYK6vGvWcJ2oqXQiYYy6
6VcGDAfPzNszlM4PXdDWnpJSdemhnH0QN8HQwK6CnuCBJVulBhx+Hi+rad6ZuU5M8mIHXwTOxuB2
nxIV9Vc0Wi9x7D6YWkJwSU+IjT4k/gJxRXLMAZx4QRyVHufKh2CsbuCZlfsw0U8BULFlWIQ9X1aY
J1jdmcpU7QqqBIJHe7pPLJ9AI7aqXZw/Gxrz5E6qH5IgRfPGqmJQiDbuggYttPLSKM694owAOpPQ
s3UNh8vgQ45d2ZNViFWjj8mufI3C6Q1Z+dCqsD9MrlbdmgHpC2x7+ZYTYvAhwbS1MydKbEvvb6tK
sBksnzNo1VFSwr8qyi9aU2FxQPAM7xRldtKTNiCj+JNhNMvU8hn3WR9zdzVsxhDMTFagfVSUa9nG
7rz/TdHY+BmpBV3vHBQbT750SzyHKZNl5MGM98rNUOhH1hQZG3ISUO3aw+CvkspdXtaFfQd47Zmh
SbWgUgQ/OGlMtkqvC8cDIoNHBbs986J9Zrb3QQsyjzPnWubaKi6160LTd72mXI+jvbSU4KNIQN07
Ji4hlVlzcKafPo9ZeJzqZs1U1vPd8QvCvxR9Y7xM6iZZMeL0kgrASC0bRqfmmkTTS3umeFQJ6Raw
qnHc9DiOkHzGjoLuXzmNjfyYRSyIfFEzDQvXoho+KfWz2fJN7Cx7rRuxDWAs7yG2uH6PtCBuR0VZ
qd1of7SDbthUlRReHAxEqztlUyJ8AQ9XGMrNMFUru8sDEjpizi04N0Y5LkD765uGktVzUrbljp59
TKp6LZv+ru/Tj3Wl3IP+06/U1pzOPPCqtUyrx0pou1DqXwbfOVXTeOmC4VzmGYpoE/34Mqo6OpE4
ZZKID/zWyJzxGGThTRQEn2MhlVlylB4kokMkAA0JSDnTWqMhBEHwKfbhbRQV8dLVlX3b1XetVkxI
1vVs7eOmBn5TwZaIePZ4bsIZ0CopC6K2xJ/fOMotDAeU/6PbrwJZIMkkR+IT89x2aTR2tuVudpZV
2iwNq+u2ndb0G1TO7K2yYtz0OcPkDvwR8Q24P5Bzm9ueKPotCoMz2fDXtRHOQscN0iBkA4r/REpB
DI5Zu0UAcSe14SYwpbVzjfaucNlSGsHk/2Z8Mhfd3/UxQiXoC0GfhQLFNmfpzNu5g5W2pXBE1Z4L
p0fafAJnafFbm2g4YuPTrx/x31cRlCmz/gbvujYTxpDnzZXumxlHXRdDI/q6Pzs+WL2P1cio+uP/
7xLzr/DmEn1apWnfpv255MYcoYaG3YNR3vwfLuIi/4HYpmoC+Np3F6nDJBnivO/PurytiotBuVS6
3a8v8ePHwlv15hLvOrIGN0CgGUN/ZgWSVWtCU2GonHL7MR5/c6UfxnXzh/LmSvNv8uYdS1lSZ1bD
i6nYTWo5tiexbzNEuKsuI6x1+sfNhubQlTNGUZF94g79/nINYbOTBG6FLuVOg39pW7dBeBizu9f3
799eY57Y/n2vcflYPv7YZ8w/863PIFgUggRgB4ZYKOLe9hniD2ZoAtwA32xGqRwFX125zh8OGDEd
eJYLHtCy+amvCl7nD81EDWfr+n9Ewf9ED6fPaOg35xE64Zl1yGwa+YEr6Ife3VuyqjM0oGI6lSUQ
ZA30x0K6JD6W5vhBi6uNHzpPBo63pV+2n9XWf4gsKkt1MA616aez++WD21VLOoKjOVHamyx6hY+O
QQ1wjRD1PfrOGRgmlHatFauKJWIyuMdeNy+KrNg4gbvFDAnoB2mWY8E3lAF1eWP1N5ZZtNiCtGfF
yg+0SMxoOyM42hZuVBJofMJFzdUo5pxqhc2kHu1Uk9AajtePdqmfAfKcTHyTi1bmqPf0LiWFeNz4
Q6ID8XGv0ji4CcC25HR7y9FEjxGkhbocG+O5L4L4OE1t+Zg3XAeb3mZSJBmmbeApFlgeJSHeYtBA
saXofxs3UglMCsp9ixh1Jcoehjss7GUSVl6UmuiK089BGy0bxsGQ5wipqJCYeYURb4aJJCdbDddE
QG5lnq+GoHGBJ4dLaaTaTozFQVcxWGq4q3wYjJ6Dg9LzE0h/CdFTbm/dVFpkrUdHNh5ER14FzsqT
k1q7vG9V4LGutTBrM92Bzbu0Eh2FR954deM/1IFzGyvsIiNF3xqjj+tXpRNgRYdME6QpqEUGhXgL
McZsi9CvF1WSqbcwCtmwDuYOttKwNILyWtPSLQoR2wuxg+L8qiuviGqfyQm5X5qaxIsydtcRmJ7V
FEYjYSmpgVIleZIa4KSu0jrUHtOc2KU57ESTVWjiR1JULVwqjaauux648QKLZ4aUxM93VquY28BR
e6+nTdyVVHXDjKLuDAMztrDjTVMQ6rIlXrUAIt47SPus8Avms3Ll+Im7n8owIthA7mQV3IJRlOAX
xNZQSIOBy7Cqw9ZcdTQwTpcXOM3kEXj2SwEilhK0P6hDd1fWYNusCWO3qGK2IC6WKr+862pHXdn1
dNHmw0WGrY3IrfhqapzOK4pg0/TmMZ9TNnzlI12V6hn9DNNGXWQFxskG9tyiQjejOF+g1SkWblJv
YltcpBbaKdVtMHf4p05NPrjEmlL5+btAVOYGPmLmxVoVrWRc1OsozB9dNTmGgQIYPQhXmASOeepu
m1nrTebvl8iPPpD0juheCQigEuoXPSo/dgSuKkE6LiRqtsdOmitFU+4BtyPHaJyjjpiU7aiVXNFB
PDBSPtSa/cWe6gNIrMtJMw6gwdFxF+ZpwBp1zGW2SVWs3aVtHXTAzFKiLcX7ed0FFDtJND4I+zZR
VsboHMooWrsd6Z447EkGLpXbqMPO1STpFWIyxROFBG8MT9hqfQ/E3Dk0EStZerPUe3+ZRfFKUawt
PriCTCsQlKpkKyqTETa0ewSXjcQkOUU4FFp8YZKa6NDZ6COTbHpwLRrHhiQypJEg7mJSS+M5MKy6
aPtp55bRZ+REKkly2Oiz3l2UUXzTpOZnV6INaIcakmFlfwyUJve0zOcmLgjr0cNmlVWchQt3zpSp
czFmfxaS/z5xNeZUf//E3WXls4we0x+fuvPPfX3qaozwLAJbiSl5VZpT+X6VXGrWHxpPZJvyW4du
YfBTX5+6jARxsmC4cfnB19SDb09dHtWsHhxMGMzl0MH8IxYGbI13T10bJospBI9bgRTdnR06b4tA
OwRnOCjVeBx0+AxrLVEd+1jahAO+qNPEIwnOg9rQT+t46Seg8EnCQwVOJz2DZSTXvsDh5pCCspVa
B78QyMwTGrXaK1z/kdjum8RPsvOY8CCvJkusiY9DrGmo9bGwrJewBLadZILnfV5Ha4zLOqdWJFc8
dm1cJ5p5MeEyg3mVNgzYcHiP3mDBu4jjQF6WVCz0b+4F1IHkQLJIvqzLflwTFF4uGp4Ri5RIbI8E
bjgK2D0ujW7cJ2Z04RSNf8giQH+JwoEeILJ3mGZZqIkS0qgG1w6XekPjWzFVATZog8cc6EErpyWh
2VDuU/ql0hryvR22txzpKuMF3I24KEsvcEflUsbWU5/TWlfkMGwImXuZ4vgBGSWljdFpAN18278o
IfF9wCHsY+kPj0Gto6wO4+cmmMQ9gyboCUh81p2Vov1BnBgtUFEDymU/eCDeR1tZvarsjXJQL0wk
FZsIK88ikK11IW37ykmD+IbZ464Px1ulNPNFYeTGRnWKK9vC6k2ieI6fxwCIVzA3nRKOOUPt0eqP
iXKhhS3pTSMpmPddCb3ZV/Xk0Pij1myCDJkRikwpLQloB2c0XqfoOGpMyRZKoPlgFmL+JEqE2RNV
osiD1fFqlSpn15QiZgOVAN+3l7OrKno1WBWTg53U5U3wTy7OUpydifvSaW5yIYBsaEE23RgdnfHy
337hVTE+LxJ+cXrl408cf/PPfDu5TJoCVhIY6qjx2ae9ObnQfbuIwnVwSjYrNg6NryeXzXFHc2Fb
tAXEr8yw86/9wkwuZ8LPwkm8Gv7+oX9m3uH9Nb8wacBRpM+/A5G0tCD6u/YVPSsExc5uLrPEomot
UkinRcb09moU3YRxOnJDUlJWBpvnkFSgLulXJgJGjZQggYzOM8ZITw847arxRDobPi7A1b0pyScb
rKqlrElDfaPZzFO5M4w0qqEz+DCMl4rvFvnDJK3WONtt68p8aasl2tHBNNEae5pSxfWjPTVymugg
fLvGUD3IjnpVA46yievSPYaVCu1zANBY9b3xoSpoK5wInVhbJERmJDHD/KrvDmyBR2RiUX5pp0l7
rVlJ/1nNTbPcdXEYfMZbNqxTuJUXkZUUDI8L/zJWTGNNIFq4xR+Fr83p9fFKA7e7w+TfH5Pc7sGT
d81SgpkpeofSYRBCPjoR1pG0wV3uhTAKdqEZN7eir3Cjh7n55Eypu+nCtGfmHix8sqs2qWLo186k
AuDU4fCkLf0YlAj01mbTAHex1PFSqjJeJ21cr41SwxRNDauR3wk6iI+p2Va+ijpIK11tSZqIeNCn
kqpqmqg9E9GKzwlTWQixMK9HLCx3ulmjFRUCVkTJqHBysvbUtskTb2m+q1xLu9FQuaXQIlUCcXpA
GqZdhJdjhhQuGM3o0ozqeuO6QMDjyXUup4rZXFblzADH1xTYYHzChJ5eEJpVf2wzWr/ajcGqKpE4
AmdMAeOEdQI6xmeRMVTWFSN4Zc3ZV5/1SC+X+MKLA8oYytI62UNomFajozjrivDel94I061TZsF+
KCKD3y22lWPkw1POojotvGKEU9M0HOHV6OSbMoBdQ20+ofmWzEwmNtv7VCrWRxYJn0hjFBdCccoT
v76PbDgzjnUhQFhIqZ7GKRwQTPbxLoigEhRk/DHgLsfrkPTdZVf31WqM2mEVdJO/rqu6Dv49WbU/
T1b2k39/sh6e5U+cibOf5dvJalPDWVhtrJlS93p8fq0Jyc8CXsmUBtCZ9ee45evJyvH5uobFhM0s
FUHAXyerwckKVk2FsQf3Eo/OP5nEvELy3h6soNHoq9j5MoWBkGa/E0/YWhnQ8U7NpV3bJEWSMEim
YSjSJU4Xd2N3zmNNcs+6Ks1wpY1TbCj7rHZaeDx2JOL7SMDtOYV+0VY7NGYlHWEb9+qqVMzWPpcs
t/pz3peXpZ5Et4A28D+EOoL8uJ5qipYwftBTMLtjPiLnU33O64AJuD+il+WIF8YUrpvXb2tl4g/e
Gb6SEWCoNXZa32ch2YDlYiAdD2aH3lp1RIJ4PkTaPsvAad4EE8UNe1k/ZkFVBHLj6gHGRRs4yNA1
1lIWfQyGeaxWfeVrmy6xtFU/VNNGTSz5cerCVtsmYEynlV6TKbEchTsNq7SFGkLV7CvY6oxSAXJU
ks/VjnVI/oQorJvImm0TuV1CEcH5udHKMGluEj0lC8kyyvQ0CCsUm8rm38egLu6m3kAeVRJhGONM
Cgt7B9FMV1f/Fj+vt6j+y9btOuqeYYB9ef6xd5t/8Nt9Su9GeyTIZUckZ9M6fb1NQR5YNgNTlhlc
zp1nmV9vU3x0CDV0th2WSxM3Ew6/FkB0dWhswCL+eZNipPsHwoxX3eHb2xTbssXuBhmaZQkd+cj3
nVsocpT4rS6Osqiq0r5Q0tey3KW3ytQlkO8EpInQE4D/PvlxoJuntTaOmg1HOjIZzKnpqS0ozfuM
0G/TzPVjmyjjshd1fsh8N7shMK0/tYNRXqCIKJ4AKvR7kfXJDYtheTCKmLyRZrCffRExlzMcf63F
Es+MjcPugdQ51cUJBeJG9iW2/HSTCK1fTmlufu46S3tR9Gi6FrUVtdgVIFwRkAw7xnFBm1iskkUs
yGEjLD4K7eScZa1/K1DfXrelkoY3amwmQb1Jba2aAAiEPnQyjI/AeCjYAjQGRqt2mFE6+m5W9mPv
FOMjZ113JaXmQNYqpDCW1IedeokbJF5lZlTFH5R4MmnausS2QeBYlYRmro8Z0WGo/BLa053RsZGZ
qD+W1HeL2V/gNGW11HIThF0nXfPQwbx69CELiAUQGpQKrlrjCas6C5xalOv6ZkRKsBtDi8lsMRnX
k1ZD8xOdqSECiJ+aOA33pYWf4mhiVtw5lKjd9TRzIUZpAhzyQr6Y/TFz0zFXNv+eCH8+tOlEfvHQ
RiNe/3gaaPzQt9PA/QNN1f+ydybLcRtZFP0iKJCYsa1CjWRVkRQnaYMgJRKJeR6/vk/Slm2p2x3h
vb2xwxIpiqxC5nv33nNtTmeBkfHXU9sEZ+0gbjq4HHlQ/HgaOHRe8o/L5EOuVZ3MfzwN1DjEOe4q
sq/LGugfjUMuj5WfpiHY4xRg4+TlUQXV3/rlaSBCU+30XftMuMtsHmB7ZjkUoTkXgZRaT80KKfj4
1HoplQeYqUj9j9mtrkF8BhyYAzwj+bruXD2EZeQ5bX3Iy2YJZncwbZB/LUds24bH0URnwARRLult
Cb2U3OKdI+TXaTQ6PCDmeXYow7AU8hQ9AfxkLV9Ll4C5ocCo7LsIsepsg2Gm4npK17kB6X6EpypF
+KzSLPKq1BPgcdkHeZV+DSCswMBIHTXAGAMyn5OzLvu5K06WNjv7mZ6oWBVGIfWMG72jRCpUdVJG
snyNVMFU5+ThWlTFtp0w85S0UNWJtofG0RH4LV51VVSVqcoqUF8PMR1Wxgle8akk8jOZFFz5quoq
zMJ7QfdVXuobny6sZLkVNGONmLMdmrIsMH/+v5Vqv9+e/6+Oef3Stm//6/78FyVT+J8UTYhMAXqh
ErH/PJiBfpjqf6Mhsc78kCt/fyta4pMA+QGXWMdTyaHNQf/jYPY/4bB1+IzYIHi/QjD6BwczvuZf
34u24Auzbcjalg6O6Bele+j9SeM9Nl5mXtnuRg5hgiXIBSlG+EzCOguvuiWNzM1MQDR9FL0AWcG1
P+4O1RJTQTogP163OE+o+5iMbqGQvipKkgYFEf1vE7tRVptVEy6bLmoIW7NF2E+OiPx3X6eD6vPc
tlgFu9iFYhPOy+IHWUU2mOSnpq6otUNonEqndATSt5S4DVZuj4q4IX/fLBvLFRA7FB2OWTYVu15P
qSFvhsiyHzKhSWfrkmjnml9Bt4NBu6+0gXilOffJ+2h60zYi5ahvoijhpFQAqL2EPHnUQi97jYF9
BH6EH4o04jxstIz9x5DHJLkJJKz0nMpQ3urcEGyWEsuSYynSZ+oO7DqydvYs351Rs1Z54b0nBeJd
l0cAiyp+rdISVSPSgydzy/FKRsAHPbYtwIeJ3rM+jlYMzrzhXTddGfAu4ACzgyRTrVFzorbSYo71
vddYgIRCuGPCU6P+UkbHqtGyG2uGMEQ+1N95VfGWuou9I5gdEaYcrF1bdoQA28JZpZELFtnus5tU
x+ZH3yY6wsBNoK5HUv4lC1rPfJPQ0vY80XhZDJlJQsqC7lxG7opW2FcU5WjvLBk1N37p7WTTvLtj
GO4qI+ZulSdDG4wNteJZZ7i7sszbI1m5JDA0mZz4mqkJKJ3ymI4D0eoEXKZL+ZrtjvMtPSz2bvTL
fNOqwlQI1BA1G4t8dB8ColsavkzPfM6K1ODBnUSrprHQm0Ygp6WLHIfURsgKo5LqiK1vcRayLI5G
uMwxYK1lFjWu2BnXH0uIbLvoPs0fZNKREKdqMwm3h5tIN3k4Feke0RMHVJjk+3/vLx/3F2WK/vv7
y31fZn1e/I+BRn3cX64w8MWxX3GBsT1En788OPVPDuZzdR+x2KwqyMePO4ynxChWvUQvP/zpXG9+
PDgZgzCss3zwlW1DGUf+wYPzt3DOnyMNNjGelzzWHaFiSahRPKL/KkYJ3vm5Vub5hcL5I2YypBLe
MFNaBEuBxXcA97RKwuzEwJxuSSDuddZjMWhD2WuHgg4OfzRuC6pielMcx7Z6SXvrC+lYQGfdaVrE
deRb+0XyIExhHq+lG31p5+x2CKmWcvIcsdpx4Cji8Axxx60XMWZX+Uy7TJbKFiN2VzyVpqRNsvSu
CzO/8ST+S7/0yRAjDeNWeYU/uzVDcSOn8lI1NhO8nzyPAlhIWTgXz677wOhTd5UKkBu9U36nEAV+
6iRp7pUuDuYhFQd79q67zj2YYX5vztPbbC0nMCWvWUjV3zyUVFRFu9Lprxwsl6tycC526R6zLkM/
kfaDCUFjKbuvI0/qduCd2bCPXo2+d2P5zVWWl2y703MyJttKE+G6t8eYisJMW4lGe/LzpsKrUeGj
Sa5lA5p3qTC5+ml3IISN1o8rcysdH1YE9uMJwipDKNWBwMer+ha86zZP483sigulJtvenO7gQIFf
5+FsNuLFFDT2ZdrzYIVPjqVvnb7vIbzRAccl9DWe+4dKg5KdY4RluZqcZyZF3B79rT6FE7B6J3+s
rYMztyBdgM6WK7N2IWbr3jYc2cfmtkNEvh8gSBCcJjBDkr/Ngq4uHnu+jJA643Uaa1SOj7CrY53v
jQcZQp+v6oGfQ5LgG6RTKQvK2dOpYTPvYq+8Gsfwu1VX2Csc594qnTsNptha65xrn1JzDg9XrmUF
gytu5J2GGYK1uXVN/xpr9Tq598Lim6dTdxLmt7lMvydF8xj5OA+YJEYgXKmzr0IBWZ4Tkq36FK1d
A6HUYt8bu+E6o7qarqk+WHxcp0u60+k8Sg0z2xQ9bA2j7d881AB8qAoG7lbPHAkbX1TZtbT5btcZ
/WDwOsZVMYl2ZbYgnTTWkqtlmqFK42Y6LXPzUC9ouVXvrS2dhVMZa4LeKPquYQf0HJzllV6yE0dM
2PZe+xw77jW68h02H5BiMbxATSwL7PuErD5ImK0/w6BBZ/laFfVnb+AHb1ORMNvLGecWfeOaCMzB
vvMr764fQ3D+WFpEGB7cVPNWNi96LFjedlq8bI03hxBAlOLXHUncJXUzrLVlfonMpV3TPhjhQuaj
O605dhQOsKhjK+mym8/y+MI1kvCxkW9mwuKoDDK0YPcsL6z4XroBB+I03KeZwD7h3aSGAao+Wqw1
fnoSGbH2yOK+WHUZdzhqoOU8OEcGB0gGAq9Xb8MwLTTQXWE+HxEpNvR7WquUQA1nsfVmTO0p07UT
BWbEHkCfbPR5eUE02c9VZ6/pQYK765JkmEeXnUxTAlmpx89QxktsV/DZQyMiwmg6fD1DBoi65xXI
/383MvDvs52Fq9Ti4uRl2l0Ni7bNeUlYTh4fS9d9qJr63GLx5KpjvVWVfnEh8BL2dzC+ZNamGKEK
O+CUpL4016HQd1MBWifnO35VUwuzSgteTX1XfLHyrNyWGs/gKPawjg9EMrI52oeIJPtSzC+1E5c7
n0ejlaKQm722ltI6LZ28tKpCnJ0LrrbY/Dwm+UiDUXlTt/ouaax7mve2ZoleE9XGGvkX81PpvoBJ
YfkhjwZ/uWCMgYTgSH6gqlKs2anUmywZklVj86JO2/ALN+UvTVffga6P9hHZQhhM/SbnAQfDqP9c
eQCfm5Sfr6mVgWdCrRuhQwNUaV6TJuNRQQ239C886HaMqhCirPYeHuRjanRPTe2ZdP71T5a/6Hth
jCJAE5VXS5sMQeyRokYGByoc1dzFMPk3bfK5gPayVH0ZhKn4MqYTBPcs2dqZT3Onz7XKrJyV3xiP
g3M7tsclfB7jK0uat7DgV9AMHxONIRR/uiPQ852iPBsVE3CViRbunvMmeNBvxOTf0LjJW9vSQjA8
M2A1HGAbXPes+SwKnP3xuq2yu8E39u6U8fjF68b17DO8/CtZ4vaNo/7J7eZkpdfdse7OrKaIKPXM
627ETZdupqz0451RN6Djm/iJNf8uy5rkGseT2GJBPPmzq20Hasm3GCVwrtNbtmorj59WmG/GKjrC
itVIZXgU/ooy8ukIZFe5t6byjRYReRqLbmUpAIXtPiVlPu4axpUY1wYZACGBckuowBgQYMlFXker
KMQSnl/HsFv8izCb8qIv2gK8vLMOgyvPXCc976W35nm3TDg3cJbUGw6PBM9jtM1tcTIq+8DT6OiE
vHQQqSFc0J6uNZb5GJMWpe2KEYG6hL2srbNltdG+kPqbOetv4Ry9cuRQwCcnsDVakHtuYOC8NGmZ
XrWmKIN0yr5NMW0jdiR3hs7qsguhkkF8fZYT/br4JhIkBTrrRVtihli2zqCBU8WRFvHNrl47/Sis
8C4N3b2mjcY5btyLWU0hd/hcrNNMf+DbzykusrdqSo6DEYEwqqfbpoUM4rW0dplusS0mnapkjJlB
TC3mCv34uehwvE3ZZ5tGFyezH3K/vpnrBCLakh5GC2BUnN0MvE8wzE1b0VX3bml94+F6Q+Vtsc4k
L4EYJjohvS0POLEjzMORLdozkEqqMBexL5zOWPlJfnF9SJZpKGmB9dN500wdr4cxylhBUw7QOO0m
n5iiaHloV3FpvCwtlPpsHAG2MiELWsi55D43TXU9uZnLskbbiBgW7Oh94WjBfmncEQa84p27dxGv
EM7lQ7W01TqJs9MoOGpTaPJhdwXo4smuxPMYppwRhfvUGtOpnIh3IQjD1NZIrfh29JjPICUBzh2W
+NhYzWmKom1Fpi7oY+9W2hVntOY89NVwWiam0yJ+zSz7WKcsqltzvh4mr9/Pzdxtisk55cIr6Gfj
QajJHYR0J6hti+Jc43rUF+JKprmOqEtdO4vzlIx5fmOifAcRUZOVRmdmMEjIKiwPqvWII3tl55id
qpaqHG9p9q1lkFrSk1cXNXjtTf2NW7UmJLGh3EV+217ndTPjVxqvMuqmeSiFu5R6lZ2fjwl3TiKD
JGpoZ7XunU47OrGb7xxZHnxuW2ClqIiAKD5goVr9O479tk5mAfv349jphaTk/1gn80E/ZjEYtKyL
FQMWZwlbLH7ph7pkmLAY8bUAQlTFbyqZ8+csZhpMZ2ypAFK4ulKr/pzFVEgXmJbJGGQxy/2TWQwq
5K9LLFbWbNlQv9RXwSf8eRaD02jTpqEvFzOXj7WZdeA9Z9XeWSN2LPnWqx2QRyXDCmXyk/9I7Ak3
fk+2Lved+8SzTmbZHfIk2dSDF7aB69KMtInlWD1wtmDCMfTbSCugT4xxRJVLlmivRlayqynoa5BX
bkglO+9dOqOdzE32bUcTVN4njAJQEOH4O5/HFIa1RzmRb+PQmQozqOSSAloq7+dZeySz9WCWdr/S
jSXDiDseHG2+yNg7CjKvtN18axif7LTgWpLAgEuMG86sR2NoCzpiTVZgXXoaqobQbli8zw0uFWmI
bWi5UWA0uUkIdrp0DDV1lkyBPZh9gD/vez3mS9DpISFUKlYjHSpVVUqxTfFMMaJo1nwYp5Jb0hhd
iZ6nPHXBveBa0btrdHd3PeSS26sxXDVD9SR1/4tmucSAM/M2LdtNZ5Ori3GENMny0HHVHnpR0f49
bvKqfDd0EQxNfOfzzFoNZn5dRflB5PNj2vZXWjm86409B7o2u9wszX61xMOw0rS0W5lZuq9bjdCo
dNY0KBhBaMDnsivpXQx2dWx26nQ9dED/ZDmuO0XsLalkpWdn1jZemi7rYoJ2iKfgm5yjY2GKeYcF
Wl9RPwauzDiwsd33fXMJM4yHJnQLLFBNDW7Acfp8B0gQ6hQNJQcTCFzb2qduwsFplgaHeTFsLdhd
KdfyNAOKYvVTkBTTCx2xYM7ATZWQNINShXolA6M0tRe9Ia7eDNRRCbIGovXfMKF6J8j20DZ1iq6M
XjrX2WhyZSyaz7INrbPR5eWVMCIu9q6fBAtd73KgJLh1uDIreKKX52JXaLRRQCJzzpwSO1ezDlrd
Puq2zTrCeByHjuiBbPWgaw1xpkosuWZ5S78OmxkCBeSqwiGBITYl1prIdsjdQOjnajKNW2LU7j5O
h51vVft5jI45d1xmSOMFBzFVxMUcX8jQMCri75q9fNt3gAvZW2ackcXrDM3QGOLnMoLL7BMcjSQ/
zySbs4tlkRme8t/Ewr/tQ1XPgF/3NabynOBUUeYUtQj/S4KsMicwzJovLln+kFrfIbaN+eEvz82b
3z7Z/4d+AR5wUdaA0godV8zPf8RcRVOLlGpd0va1T2/m6r74vdX1X/+6skT+/Rmlih+O5UsNMu2/
Tyr1oX+cVDqdjfiUsBkATP+gUPxxUglKGx0OIuJhbBV/Oak4KFmEkCkz7J/kFjyivFZ++2Qfvop/
sDREcvvpRUhujM0kfb8O0g2hMqzjP79CoJHl02TNzWUGu8q9zugFRW1F4SXkc2RxiS3nhIVAnh27
2SH427f1nGIyiPQ7M7Tu0qZ/K3UaHqZJHtBjrqQrtjzLr1kHrLWBSvtCXHuFCCDQdiR7pte5Mq91
3lQrs8/PmEe2YeRet1LblrN26yTywZ2LJ3ui2SqsqRvw2L95jMzFIWUulJoWYSCkn8WTj808rjVL
v53T7NxTNDP4+plLarfynenagVBsN4Iba/RgQ1PQ+BttsmZ89ePuFPopLj/zK30+u6HrjkXokFDD
Fm7V51DKs89d3meTEZFf72F2mmV9aibjiQvJXgpx9ud5paVsAkVyBva44doZ1C1Bcn34AtT8Rsr+
FI3zekCAsGhkNzPn3BgV3ML3tvENNWHjEe37IxbKFxQCVmPWE3VFB631A7SbOxktOy1JgrxCRKka
JKmZTM0UX0CM71P4FSJxHuw23y9ze5d73WthTGfNK844Oa4HR226+iNg/D3Oz5UbVe9uUp1R3Ki8
9w9mZN25kh2PB6i0cwuomRm21t5lhznXV3WYvpilxXaJTGuMcyzjmO217joy8mCJhkMDurJ1tbvE
nw5CDx+tfH4gBIA1KxYr+g/JKEPgkKFer928PsVepqqXmLayuQ8DICQv7uA3O+YvxCCb2vupejIM
CisoqnxlyPaVdEKPyOY3DS9svSbZ45aRh64kfHSxlgVtPLGcwtzBfiNxxDo4GKb2QBefvivrPmNH
V92lZVcdC4eFV1unjHNsGU5U0NN3R4EUYlRMMguzS4BVJLkzhIHDBnqK3UX7pBCtkttBqsaCk9lg
aBAFNoCkcutN5+kJJJLR2tNfZAetM3+OrbkOOp/EUGg6KSAC8I9lBXRgjNoHIn36JnV6agoyTilv
proXrc+mm8vXlKE//FayK4EFcVkMe2s16blu0zFQGpSVhW/EsU5e0j1p2H+SU9N3HMEzaJS6Ys1r
OhElh+WtUeaPI+DvgFxitwo5dViJK/BmZb1GEbhqvSmgJLas0FmGMyCrU3pKvvsa3KrB6nN2UwSh
UsN7iyr/azEbDxxdb3z9ElK33gKBMbPArLimyhxt0y7oNUNrowywEvsqawLKxy6DzI+kqx6taX7v
Xf2Y+N6RToV4S2XaJo7kI9vEDa1t9Zk1Ub2lf1LyxNGcU5mFdJpLOGCE5TbGRwmAxX0FwNLziKso
aGvK10qP/Nw0NrBco2KbpNMh1LJdovsxaIzhC8QPTNTddCFs88rV43Ui8rBqJqowF9fZmw48XBcH
ceTROGPUxtarsoWpz9iFpfHc1awDeUyxPiRLCWUEAmz8PEcmn1yzvsVhnQP/JvnRd68aNJTWwJE0
hXpQF+ET9u1hPeNQX4yePCCXUlZ50FQ6pv2lqe7laOaBnsB0nBx+7lMYPpsZS+ywCl1eX+aWAC5l
VCgwYHfSmZghb0uI6migJm2aujHthhAoeG9Ty5nG3NTy+hDHi8PXNhwrr71MedysZmivXg4xQ+pn
2Q2Pha4fu9FbCMP5gLI1dlZ4zK9TqX8eo+7KLuQ9215w6okTFOCiV541moEzadc0gQo8ZelDIy2b
QjoaLTMXfM5nKdNi24xtJNdaqfbBdafDmBjkwerIIGWDtSp0T9vpyzysQK7HNILl5XbqjWObzlT3
tLTJiCm7jcshXv87L3/MywbH8t/fRdS8zCLz5b8vIurjflxE8H2YusuVgkj677eNPy4i+ieYAjRQ
qVH6w6r5Y2J2P2GJEnRH/5474Y7658QsPMoaffJ3lsXC6B9VUKF7/tdFRI3fWD4tE/mS2+rPF5Gk
odbIXQx5yfXFCk+SQPjXSejSo4utKKKbkm6g49LXzldHWmOz97WiTgGMw9AFSN4++tIqP/t+bC9r
CkpG6tQKt3tqzV5QB01978aRZMMtZIlJ6ROTUioypVkYk3PjkRboI3HplaiRzS/oGC+GUjvi6c5p
vZwyTH1nKEnE+BBHUEmmAaIVqgmeafJxSkiJGooSI31+SZXIUiu5pTciVTqHBDMrMQbruKqLQ0Iq
2DLZvX+wIsCoAxpOlTt3FppOHjsiSE33+xxOZ7b6UeCj/9ToQBV6kPQShCElERVKLMKIQtW2EpBK
JSU5aEoJ2tKAxmSgNaVUZF0D7rnqZdqv6tCgtbRVObUmajhsK29doVsNdfVQW0t1MtmGrZaCSpXG
Iy7egL2iAXagWEWJYJ05STjbUXZdoJAtKGW4tjlaBevSXm/elraZueBM2cZr+33W0sWF4ibSLqhc
N9nOmr+2lCjnoc7RlUlCTW3asIkj4tG0sI8L/ssaJiQwv3wsUPpcH0SZBVyqyr6JVN47ShLsuoRW
LlRCuhJuYyUbDkpADJWUGBH8iJTrrMysO6nUxoakHlcmdOLiakGPrJQwSUgzC4oC2ahSsmUZTVcc
8+tOH+k3K4tdpiROw+ppKUb17FE/EyWDOkoQFVO8capOaQFcPpVoKlFPLSWj9kpQdT+01cY6dEps
9XJVcYX+urBLR5iT50JJs3AOzCBBrW3m5DVU8q0jOSdsFF0Khp64+z+7YbQ2WI5keRSvJvVl6MOd
NpODCZdLhkbcxsbWD294sZYEM/vrzE9vltkB64C4XCiZuZniGuMw0rOOBt05vOwEqnTJJtRTMrXU
vCfNlRrSBRK2SNiWa42CQ6Vnu8ovlG9fwZy7IQsPxloJ4ZFrbTWz/kp7DuXXxkOuJHMH7bxCQ59j
+oILVHXNp713qFlkobfTV4GoP50ap3+D/H7fosvD5LxOlFCvK8m+y3x2zErGx83yPVPCvrFg5fGm
rA8qVH/+8jQVjPK5VoYAoecXA4cAu+FtjWNA08K1pywErjIT5LgKFAIGewErMGU4QGtvmB4wIWh6
kV1pyphgf1gUlFnBxbWANyjddPgYRBs+Z8rYgEUOrxdeB99brjO8D72gDQAvxOjkL2y2jovNH4pX
IqkQH7hQUxSMWqfvLDwVpjJXQNA79cpugSpYbGfUP8tQqTQ8GTPeDG4Q5lUsmuK2BTvWHqdBTDwg
Csp9DXMhx1V3e5F4T1hWMuxIuSD9GxMAqzO9o5kDg0VU0FBRTZZxM83WkfYPcZa8sdb8zG1oN2xJ
7IHcidO509NSF9FdA9zhKrESe9fxLdiMmZbthatxI6xY50H5DyNuAU4n951mIvUakj96JiKMUSH8
nRL+78rA/L/H9A3yy0v734e0+qgfhzQJJhXMZLeNmYjj4GdzpuUTeYIC5LHGVsvrH+ZM/RM+SReD
pott57cdw49T2qdd0jVomESpxsBJDOMfrQvUKfznzop1ASe9QW6CfRXpefZKP5/SFvfuguYFcbGz
sUv37D+NVe3V6Qlj0dpSESS5PIWs3Yy6y3YjfcJajPknl+HKhpzhhxnJ0nR6aLpKbsyyuXVQYAhd
XPU88Jx8otC+DZZ+byfalzICxBhtaTm5iMSPTsBIvLVjq6SUwFmTts64cuble6ayPnNvI1qH3hdc
mxxBptZtrbFjJMj3+BGiwLSHm3jszA36fMyv61fLgBGANe7J0hFeezd7LDRmtLzR3+KqfR8X4zsD
MvWSPYC+xpg+5940rhltv9D8/dQs7ARBuQUJVgvqRfxz4czzlUao3xHcfKeCN+EUJgGYZX5j2L7b
YW/xG9mbD4IIJivixIjxW4eWEeSyqfGSmt/09Nmeb2TrLCtSr3Dpmj19dTIIXTrkRnOcLco59Slf
FdKEmlGZ84hybnb+i4gtbIjx1OSUlA+06CqfIGtipfnTSN0pF6Gu+oYIluAsNLxsqyu3oWkMrEkc
5UGclRuRhyNqwJI1t4PyKrIJr2Fk4l80eEasWuVplMrdmCufY147z6VyPo49+WBLuSHLkqbxTjkk
J+WVDJVr0lH+SV6b+M+UpzJhsJXKZYk7PF+FWBVOofJgjn7fHiWp5N2kHJqFlcFVr5VvU5NmuBNp
/24oT2cta6Zf5fMUGD6Hjh8fdV1KsMYNKkhz0hCPQ9TSnTdfeUZ7IsKbQvlIGwyljF3wFewku/FM
MD/iw3eqzTGuHwL+lnKlpkNr7zxZv+XKsYpFgAewcrG6ys/Kd27BR4fH1cObvzKU7zXUQVi3ygtb
KFes+WGQFcormyvXbDXD2C85sletMuaiWTZXo/LZRiOOW1+C+acjxtxVnYMvCSVzFbb2O0VAFhVH
kr4Uy9y1H0ZeXXl6E59lSUMv4ques/Wnmwu0i3IBY8zA71VZw4aIISbhRPmFk6LHOaw8xA2ImP24
YOfbyA+T8aT8xj6+weQdY9u894QwbkuBRoVFvAVYsOjNlVnF60af7jNNRAGxJ3tVYGijz7p+5FIX
rfUlhLBKyBDgDpLT0H7RovopKwtW9bSZbmROxm/IyxJvGM5rd04eRVHeJHUbf539xeWsieT13Hv0
OVXdqlr6W3AMXI+dLF6XhVsfgJO+MVh+7fVwO0Ye11Bfex+TTonT8ReOq2NmZc/K2L0zW81ZZ3mj
HiL+iW/FoWfpVvI+1XrFo8q9e92zb2pBRojw5qpoyrOrW98wbz4NmUb+qZluuqXxDl7T7Mul/dwu
/kNNCIx0BNyZugcumswxJud43pnGAtS3YNvlUQDCrgROkLyLUIlYunE37DOzvrL1hTZm5T4ojH1c
ymPqhhfPHE8a9ZLBDAaAdwqze8GLbYUYwTqu8OPXxCuKr07aJfvIHHAKWL2JluFbRwef6cpySgX6
zV/91uaZpcOGdcz6phy1z07bjrsEpsQxKnreymXE4pEEF1+S1sH2oxiomngmheUY3eYsh1fEPLXb
Dyv1osPpbdQf2ql8ahLG/k5vq/gui5oq8Ix2YCJq+l2bOGSy7MnfVZbAHZNITxUbZTxh3Hk39fgH
wzY2A4Rya+MvyONOY7+3c7QEqbUc5i656EV9lZvJNdz0fGOOurEzicdsTL0Kt4TWWSUQN9hlYUgF
kl6We8OZbLZZ7CIkS5swjo2dYappI+GrZSUVbYxxLFdZgXHEkeTA54qnlK5yqGPB39RuBpa3A9Cz
PhEO21UM80mO5lUTx19DKYDE6o79vwr+bzkUBcD7PxuJt+bb2/f/vuqoj/rrVUeh7+Bzk/FySHD9
KeGLT2z+HYtS+o97EHLKnwuJXz3TfywknE/IF6bL7clkMFERs39w1eFS8+tVh+uUY1jsQ1SW27J/
ueqYmkGPWZ2mF6Gzxjv6XVxxIg+5pdG/yQ6eygxG5HVfJ/WtcDG9GDndrPl+Ohz0MNkVZDKlqo/r
vEca2QDGxcM9gM8G8Biloc8hREcu6EXKSEDVF221FyTWJLDJfewrw87WMemwMp0vk4YJjUveS8hF
D0NZelXpy03h4Klxw+Zx0iAd2HTE9d70uOjjd6dy7yqz5BMAg9hHk43I7XEctv4tGMn3gewmCkTO
VIVqBR6zSx9CeMwcMky8+txxxxEXrwxvxxyKhDPX+j5yFpTUxtsPDrGVPB33oWN8sappoh1u7nkk
4hEoy3rYoK0m+8rMs43fuB6TXehA0JLPfVp3QWFX6S6CaYQtmtHCVENG/zFvjGr0QEVmCqk/JhKA
NzNJdMYUKXUeYGp0adUQo6txxlWDjaNGnFINO4TT7EusBqBIMArNzES1Go7IxYIVUgOTU7vdDuRx
u5Uf89SgRiuDGStUwxYLWMJ6Ul2B1CiGdM5UlqgBLVSjmlc1eItyf4bsxjKnjo+WCz/wwKpaS7cG
bkmov6l4FbVpBX2vEeFNkpMc+lUfQmjqEOJlgeQAhnar2/mtlfhYKTEQAxhr0res7J9Y+F+Xuh4F
GFh3WZema2gFp8bXTq0GHVzmcWDjSZxkcayM5ouhpdfJiIBRG5jcIzluOsV3rOobnG1nTpK+W8vO
TW9szipjY5qDmZxzWybLiXQXYgC3tbQi32daQ0gjpTz0echSLKQxbGL/sMmX6NsyjVxPefZiw6fd
sFRLAxsZZm019jdaIxu1sUgJ+nZtYMpp04sucJUWNHUT/EWkEcaDBOEAMB633DNUqjyAOV/utSiP
ySpHmynmdyZqGUFNmkv50TrVQS1lNvXMuK1w/sl4CPRJP7s2EIS0saE4VWl71PXuyokniIM2tZNx
1mqkn4yvziSo/J3Lz6OKT/ozFKWwaF088GgtsWev2Hb6q9Z13/Iw+p6V7OR4d627ZAYNTSlJb2Nn
mQdjI3T8JH0755tSKPRAOfqoBVR0CgvAst50URCiFKErfpjD48Qt02PRduX9vxvtj422Kn75+/Pj
88s3uiXfiu5/UJbUR/5xhgi8Xkyjaq+NSq7zDP9jpy1gr2K/+vErfNSPMwT+Er5vHSs5/zLwkP25
1PY+6YzRrDxsT/GX/hlkwFC8pp/HZaLLNKnwXCbJaIAv+HlchmBftBRMjpcp85CF+rja4s5KNgrm
nrtTt+UB0nKvs63hCw7vq6rlSuUAkVvRABCvsc62QVh4gm5eZwPjM1/lc+HiEoq1K71bXuzQWM6s
k95Gp24pDKU9tUJJQ3tyToUS1+YBUng1DfUZG8omQYHreFiMeDG3Mdpc3hlHqxHv6TQ/jmh3rpVe
arQ8Vxh7P5aIXQmzRawEvyQj5McONQsm3WLP7feSC6jzlrjWw+hoX9NBexuVhOgC7VlPIyEEFsXf
6xzFMNW1c6cPPbdrRMhRMfBwS77OSqCE8yLWmZLtByVf9nP5KJWeia7plA29nB9SpxI94Y300SmK
DxSd3tWtc6LY/W3BQz4XN1gXxoCH6bnwnS0s/Ke85qGDsgp56X5QUquevM+Rpay9xq1HHzC0KmKW
A/osbB9qN5Vk22cy205dNq1qn7t5g7KbR50ddErsbZXsa+Lo3ehKCl5KayFcjTzchom/4VrdBhba
cSqx5+baf9g7jya5jTZb/5WJ2UMBj0TEnbsooGxXdbV3GwS7ScL7hP3186AlapqURF1FzOIuFN/m
o9qVQSUyz3vOc4wtN4LkxtIyHRhDxuFngmyvxVbvWyW9sM0ykuYISDWBoLwCU/hN2Y7ZylxG2OAo
95aqxX5jMFMzu8TadYDt04ciVJzwpLdz/pi0luKuMlpPefn62RsN5JCelPa6sMRXejB2Y9SfI4kB
z8jRXU8ykK370lCy+JlQgqP4rgZMNDa1YGO1EPkcFbMwpx0G8vpUbCpCPqd81uN7yKsP+MvHHRzG
lxQfFIe8Kj4PZgLLq+qajT6JO7cY9kZOlWQTdNtsBiWL5HivdGzfO3Uw1mMwF9t+4N6dm3kNjF8v
zm2BbYKFllhNfxqjqbzjCoD8i2HPS+psvILCRkNIN1TUSfSvLVioCyfVew+byJdK47Q5m5OKW1rD
+1ByCsVAyUtvaZ7jym7XdEGz0xs7u63tOqPf1ynuUn1CNdFi+PJmdVcK6UtpK6u5m+mJBWU12mzI
ukDhWGd0QEjL6TzQfexBBRi9PKWV14r1ATVdA/8KeeogJ/XTGFReHQ0PTOUxAMLQZ6ZQJX5ouqgm
o6nsFcUdXtJkIEU01wHpB1lsx6pM31LDandZNyD+1ILQKQ75HszsupHYT/wGTuwKm2tzPRhacIxC
AwdeP122SIckI5TJc8qYT2beN5tRFaMv9aI9KWKmlxsUJc3f47z+9370fj9aYuh/fT967l7/ZLq6
/MzHOxFHDtrgcP4SYP9euCWVSWYegsNvB51vdyKXBKjLPcrhLoYL8COVSmAbY77q8qV35fYfpeqp
NfrjnQjYINZmrIasqD+aDTOJCWUsR/Usk/IpcAtEudRQLnSlW8pitOraKikL7wq8IcvuFyLgMhJr
zcNS3oB0MdaEY1zr2DRztzJF2q/aweYDTYOtGKtTMyte1atEysWb1qfkpvOB9QK/z2wPezcQG1Ii
ql/FsJHbIGPGx02CVfV+KJqdCer4rg4pcAmr6s0exEXZVfeNxqfJhAcOVbl+yyZQOGVrFsQWht3I
yQNCdRkV16ohtlpimleKYV8E9uCu5aAGXj4oga9oDXXMGZGNQH4ipP8W5GJguSrI109VvRcFBSd1
qdzITGRXLm7kVW5HrKoGCk4w0fYS4MwCr4wvugjQZUezWTeu8bmNbQIO9aWQiJPAqJ5i3biTpVv5
SqJ/qfjgrYM5vAfQuY7rdt/ZZPBzsh7U6n1WVYIu9K9DwhqvCzU5tRyl8iK8AKh3p+EwWlkznOhG
V+8qhyjMzJsgGTF5aCGFx1j809RBSYQu9iSQXckNLbYry/YHU70SmQmyJIivY8bGKyUfxHCYJrWh
+ZhC9qY6qHZxKeb4op/KcG8k7U23TMhGizAnh9fWc8C4JjZxVsweMHpSboWK0tW8YbrTrFyZtelO
lA1tu0Urzq5eTdsMezKzo2TP0ciFw9p80WuI4Uh74bXSsQ7NsfXmoote1pP+NSutyV41Noz2KNHd
S26oyC8Fd/ogtUIfg3a6KbKiOoQY7CLOHJ6aifOglNJD+VJX4VR+zVMI4a1WHrpGv6zKqiCyPBNi
jE1ykB1nGM1StslIgVGvdS92FT2kKXV5DaXcNZMtzIg037YhL25GMnol2vnBiScilOVrTvSj45h+
MAvlWhPVVwLN6y4at11Nb1EBx8xTsQ7uocruKzs/jBSlm6FxnrT0bBrdCPHEtVdqmTyqQ3Bv5Uq7
k3Se07zkMPQILR62fgwqvcWiRni3rplQd6p6k0/yoA7xtk6Tm5iiHrvLnge1eWX1L2Ho4keb2v5S
MExmWzKQMVWLkyV4cS0AcujeJttGDmkduwS/wFGp1tqb0CkGb+X0iHWgW/VatamoCl+VEjl0Gvt9
ir7r9YV6OWTDa8RrjYZYweW2GRyXOgP+ojq53IFtUW6SyCDDzYaKMTlTarq+lGyoPWgRpZdS5Qn2
tsYAlQHin6zPCyF9qHXuxiI51kGje3GVpx6m0G0StS8iQfvLi3stnR80pb3m8UHExWfkDi5GywKj
md754dzTsKWlJ1GjM7Bbu2ld42WSbnUOAUF68aiMB6Koyp4EXOMXfXzs0/rW7JQvUZXeCLuwvIrd
BrqyEbT7wOG3zCB5dzmpoCbACZcYhJfynEmuSpSKcZftkTCbV0pJB3VechFPIuupBHDOENkJqw9l
5gcRvU9jOF6jpsN3sFTInlryr5PpV93QwID81/fZxVW9+rLw0P6oHS4/+fvdVmWsaTPsdPR3hByz
0A/nPu5yFOc6DFLfVcDfz332Ly54Glzw30ahH6RDyA4uEyib5moqA/+Zl8lBn/z+2OfqlqYSTdJN
jE6ImN8f+2AbWhYYfgXVIk+IoO97mCirIrNJAGkwqVNn2imtaXhJlF9z2iMYHCOCDHX6OEyy9LNE
IiUSvq2Yl3k4FQg9DhOc6xr2KADWV6BzD2UyvlRqfSIZusfeKI4VzWVrE2JIUBkYcpttruXsQiWy
kQ5L36qNN1uLvd6xWy8w1GtXRWIbRGARhmke1dH5OpJK3iRDdZvryf3CsVnP6Qy0RHHmNcnHJ7Or
Oj/WKj9PyUMn3K2pFlQ2GLG6FQnH7ZBSvGUGBpuDLj9Am8KXC+Cfc+PAQNenmO+lynplumYCKPoN
PJghZz1aZBNkVLXCobLoKy5CS7koLtWivfSLCkOYBmPmZKz7RaFJF6lm0WzcIuNziorTqclniazD
IM5dBYvSY8jLrL/XqR/jTo4OxHARtQZpyFk0Ig2xKFlUo5E88XrCZOK1ZX9hB217qNXildtEwpKS
RSCrLERBZgq5qV/XachOgMmEP0zpnRr169RhZoyNQ12OxU+FWdIb5kCvmMfyyCl78hTHXReOezbC
CshGedlq7TZvok3mOofRCp6Y92O7T42J7vJkwwZM3WvdohjyvNfvGPXALiH7ZZDreDyPIqQqrY8d
2Dm8fCuhUW8W4C49B0K9YxvTb/Bqon3ZzoWZxzLFO1PHBJgIrq+bzLbJ9w/iNOvTtdqyrVGBlXG2
LzlzVOpt2E/XQd0UrJPGuQ7djTLq5Jrsa0i7+yCbt2lPqEedW7+X4Z0U+ZlOva0+6gRXVdzK+bIt
RM1LLNCiefIIPJhAbLQdOELmygxho2l3YxfeVcV8bIb4tsm7p1hqO20kwA65r/LsGovrHBsQRQdr
o0J+24zOdCTNrV7wlnO37JIvCSO3vuGxKVNoIW8uFiodhXpmAjhbL+TL1nSZBSvZZac5DG5yq672
E4Ld0VDM27gbXguFOG1713Sa5rm1ex1GiV8x3ioquOq29qC6yeAnZbKFp7+Lp4QRJ1aBuE1f8i6k
1cRhiiYnjq515UdViIGKkD1X6PDJDbRyreaYte35clA5g6viUefQWLYKtXWjD9/71ahU22dMcDuH
0XnQzMe6GRbixENWq9pa1adNXaREh1PlMlDdbZIXxKUYitJu/doH5jIxC45uOEGC7rOLLOPbNPdi
kJ0EuZjvRdgde1lc8J3zehwN4+CUllylYsj0jRbLiRitUuQ3kQoQd6XY4XOCTFxYSQccQP06s2tJ
4/65dYfN4PZrumK2iSFepChOeWcqgJZp7NA6T0pj14TVE1tlJuGL1DOY9lHo3Y3Q6szXxgECRWM8
xV2zH9rGy5Q+WJXCvDaScE+h0bXOqNOb5v5k9QNzXavYBgXDV7epwF5RASrSx0RPj6Ha3jtFpa6y
RL2RkenrVXaKmCCCiaKf06R6k/cCVNSbmfNRU5tT3OuIbnm3DyfwnUnc7zKdbIOr33CRHMoO2Shq
sG0F9NI4gB66rn/K9drHNJ9t+lYlfDXgZdMuFCaSnDmUvTlBzKF4WTbQ/eZhN+AmdyGNja7EVDVf
y54c4BJ4MIzmYqy4ZAVCR95m94FavKQY28za2svG/NKa9EmW9l4zooe+jW8t0d4xA8oYeQdgeqI9
lODXVK2IHnbzaqblk268I4r6oZh1PmHacIrK9CKei5cxM27dLDSwIdACUdaql+BUNft4U1TV2SKQ
Fzvi678awLsGsED6f7I3KdEr/0QFWH7q933JT2PJFpNJNGnjGw/3mwpASxg7BeoEHQ1iLhar7/Ro
Ion4sk2mLujb/whzSU7su42JWBBRruOaMP8dQSuZzpbqY+QwLaj3S9VEPeuGxT3IIhuP3dHu3pqE
IZ7JaU9dum+UgBacRHMfAgkCLlgacizLeZV5duvkg7tii+V3UrL7pVanU9R9S80ON+XQa5bmHWon
/WCp40kN7YVJDFOzpaoHiNu+7klGzPHZAG+f0+lDJABwEiU/3VL3009IV04rdgVNQPOg+A4eJznY
kN3pCiJCA88nHm50QxKzghlF+pj0F7CdslLulKVyiHAo/Va0EIWBTZb/KaOeaAgJWiRWctM25Gkb
+m213LrIVTqNEkTJaWk5UiuTbDO9Rwx4LmaKkPqiuxBt8Llyh4tYt1/0pTGJclwqbovgNCxtSqGu
PA/UK7XwwD819AygbAsfH/RDTBUTJDtcOZVRe3aW3Y/UNYG84YmguS5J2mlpdMKB6QVUPMVz9ald
Op/6AGsvW8CcNkEaoQp8zsHSEdWI/H6iNKrthhdaB8tVSp3UKOqtfO+X4iy1AkKxEQwo68A6pzoj
N4tSqm6gnWqaXRzM4KSWQ1kPXGHpsWoptCqWZqueiisOwMcBfXuNofkpjixasJY+LAy2D/XSkJWm
8smiMospA6fspUSLMi1C8eExSsNLnPeRX1C4NbSMHemI2LUBmkJLKZdOOZe6tHQJR7qHwcZ6Cqn7
MwfU2zCYtpjGxnVe5gcC09oKyswXcMkXs11sbPJO/LddUbIbMHshSLzHLRsLeVW0SXZ0x/zOPpba
QhBzyOVgh/TxiEW+07Vfc63eJU6ztfs68mTXhBu+8aR19boqu5zhJ6ntXmlvtZ4yCSt9Nidt64Yd
sxNhXbQJ23FZliYW8fy6SyJuxRQWmJIJ94zDbopIzpFhEF46NycaeFtsJIFc65Ox1cPyIsWZnLms
2ym6rZkOhySSiRc1NDm4vPbmQq/kVkwVsDO9dWHZPEaFNPwodDmo4lN3bvTFCxauRJMr12rl1jf4
ZvJsi/V8Iw2V0p0Iu6IefE3D8UtguSpeuswr1No5OMX40NrNq0xRbKqSqprQ3SpReg3Pai9wo3tI
+H41OqjbDhSeTG02wpKXmpGZPLlqXTuEAI0x2ZVyNNcEIAZ0ZodERd/mXhXnviQZadjTp9HWfU7l
LyIQ9JJN97zREZBc+sFj5VjU0TZKYcq5ILKWKrkk88Fz7ZJ82qQCK9wo4DaZ88Go5KNWN7jJgcHr
dIf3uQhBRyVHJyYuL1PAKKOzHVBU8irnDXmQ8GanscPrMJD07+i8w5SYFo4/5S09vu4TyASknSY6
9kslBvUU7mbMbUJYabFza/USq+RbO1Dkwx5oGp3FWeAusbYTU5b90IDzyHVMb3iJeG8RAZVu17XN
W9f052QUfpuYd2oc0gc2NUdKf2xmYMXaTGl5UwUuQfyCSwvUrdUFX2pSA9DZ8r10Q4Fe1++00Bk9
pbZ2JkZ18CXEZclHJbFFf1KMJ9LsToNTXODooMAvxVAbiucMzoC0xSLNrppJ3bpOdxXb/aOqV/vA
HCHhqM46TTLWv7FQoMOUN0bnSi+em7Ophpg6k92SNMN+chnYM8Wri2tAXgd6dwAHgzPCwq0KXXWe
YVrZzdpQtD0mzt5vsfCxChsb15IXajFvRGHSQT0pWDTUBacHpkfvXgwCnt5AiBlnf3ilLSnDMLzW
ZnF0xdR786zEG3seUB4xNZTs8tIqBBiuxEsS1YJkHI1XRqZs0my60l3xFVPdpsgrcpVy3TaCcpC4
LryBLqRJVlfSEfdj3EVebhEdHXPLXY+Jnj2luJL9sOq/JqAaolF9yLpin8jyGLns6mm7vulm3dfj
5qsVIugt1IdoHGlyn+9TTV/88ukDK/C6LazrRgnoX1zQEXbzONbjxbAwJTjSOp5BaEaCm9BJ+EWj
dQ7BUJh0tXgBYArUXQwzWlCzU8SFlz7gKBxSX1MKbPQzJAsB0iJTaW+yljLFhXQxgrww39kXfQmh
j8SHO89nrcmNNdsFOldAZowLOyMw6q8OW0wPMsGJKRnL5TRC2ijjxxL0BuSPG3NhcfSluRqBcwCw
9KXqHrDRnFt73M8LxaNx2AsXgD1GAB8VoI8s1slQLeiPDBFZTMOZzoYZI7e4nRdOSLYQQ5qFHWIt
FBHznSfyjhbJtQUz8mE/xYZ5CsviI63gj5YrSN7E4XXbYvSBhPMDNaWtYbRMrgGi6jZfPeFbuqo9
jDee++nuhsqzQ7wuPbmLj3BY/WhXbqKDRVj3FG3/3eC+b3CNnw65FvFt03wq3uL27c/0t4/TLv0X
XdC9Z6rv8PUf8DvU4KJZ2ex1ySQwCPu2zyVMqAM6gLL++099iymAQoXLs8AIYB3YKuOpf+Dd+6Pr
QiwbZov/LbCfxRXycZdrZaoqkqCZz7N8rAWISYa7P79Sl9/wPzGI9300vwPqtam7y35+eQQf0B3M
Ze1qrAzt3IJTaVQQdTHW7s99v/v53/n+mfzx7/zwgYAtUNVNbBG3qCjtbI6D8/nnf0D/MwjJx2fC
2ePjMwmxy4Ny4ZnoI5WB5r2DW5rBsqtQf9GvyaF4bf9ccROMryQROy3+kkSbMLzSy2tZULy7VAVe
2FZIIytgQJMN0y2rpT+S/fv5I/0hIPrH14IL6+MjBSgZSLbbvBYGwzXmdtVjR4IYAPd5IIZOjGsV
T18dhUAK/1fYv4WL/xLXstiC/vCma7RH2irHKGAJPxhCC5rFJTfb6Tz1CcNRzW2yYwprDFN1ZdaV
51J+3O0TIQ7NCEegG260bLBZXqnj61Vl5nAEWkOvOrXfyFA9DJgUmm2Wk9U0DkOgYgTSlUS7H408
2Rqpm8AzBdRaAIGiK3BfITTqfb3R5IT6Nm2j+dzbQJ1Cc7X0kHT2vG1gG+b6VTAnm6B7WuasYXtH
P/DJkBnActvvCx4A2ClOoZ4z45FOKj+17kAV1L7NnnNmfx9PGkSl7uioC4pwN9VPbYLHRjFQQYoL
TZrXmBsTaDh9oZf31LytKmM21qV7J2lDxKe5ShaXtRWHpm/GtfBVgQm8TLNnqbC7yhnUuRZIqzQ0
jz+/RJbg1Id3iHQS686HD775w8cFOl2byLGdz+rW2AX7+Sgfja3YN2ea4450pXnNWviuN20M79Ac
sDT647OyhwWyVbdgTjbJry0Ef33JfPd4/njJ/nDcNjPQGflyyZbpvkQ4HvyG0+mmVv9mOfqzK/Pj
h/iHBQ8k5JxFqIdn0KPZ3fi5DgEfeuSK7MD7+Uv8HsP+ceX7+CFYFIYPK5/L+9EYbqyfI6YXV+kI
+5Wq79XQrhPXC8/D3z21P1sBsVMYjPHp1CLH9v3fy8mEOU5m6OeBg30xv/bK1c+f0Z8tgB//wA+v
HRq9U/Shrp/Z8S4ZsgHu5vhb4vEvL4S/+yM/rLLu6NrzxGjq7PYXc32Q9h2Sws+fx5/dkj4+jx+W
x4l7ddPkln7W+WyPGTkv+8ZNOJyPv15s/9vpzVP81pRt+VX+n+U3v5XV1AD4kP/3+3+2v/47/FL6
n+Sn7/6xLiRC9HX3pZluvrRdxo/++nov3/n/+sX/wEPKb7mbqi//9Z+fPueU2MatbOI3iR/016/t
P//Xf/42m+Ti+4n+9z6bbIpPzee4+LP9ET/9TQekt1gzlikjl+yv88Tf55OUXwkSnPhPHRNnqMqa
8G1/ZPEVhpCgCUF2fe8GMn7B5Lo04Vg2Q082Nv9kfwQF8buFia4dys4AHTrcxSxgieqPn+LRUjge
k0dXAC4D36NqQuDt3NtLUVP/3tkka3oQcf8rdDmF6Yz1FGJLm9xPSZoQ6eHYeVk0lEAVNZAxleyM
2l+P7z1RnWYupVEhxW+djoe/pxp9VWONol7KIEhQo14tvVMEERtKqOR7I5WQEtCABfJuVSiOCk8z
nJO7vGSGh6sy0b0sVSd6bgTOcT1hD1JV2RpOe9ZSYhMD4bQ656HQeqKODGv6hyp3BfZ6q5onzyzw
I3pKyzEy5QB3ZaR99WzkdfKsWBWHcVejkFPrswAPpBZCmxJJfJo5jXRezk4j9ETMQuqW+r4I1dwj
tdSdVMXJLx276G9yFK1106W66S1Lya5TAgsnaS1edIz4Mwc2t4RMSrEwRSEithBftMy5UTRRzt4s
83iXNc78luvKogKZU1t4k8oQDEyCayU4ALGVpOVe9IaEaMUb0vo4H/pnGeOwJKqIJmWCbaaklaAo
hC7qtWgGXcDYBt0lO7QHvm2qmnDrYBm+bpuejkC3aK9dGgo3CWXMGJ5aM7qDCHHpGnRAw9rg1bwq
lLDHKNWqZe6F74WEABwpJxRLT2Gatfrd6HYZspndcZwdCjXOdqpRSGehLwXJvmZ6Ox5yJzaHL5i6
wi+c7JwtgYpgk8VRiaHM1aNVq7QE2JTG8elvbZ/YilbNGc+Ry4jqt237//bStf1SXuI+b79fqv6/
XrlY7X++ch27uP2P82vcVn+2dPHjvy9dS1EX9gXh6qrAAs+q9sFaYYBOxVwIJpWt/3dLF8sWhz2+
IFRu0/zUt6Od+Yvg0CdUSHaExhdn5LeF/OrXjQX3gL+8kfJ7vt/hUWtBfzsjDH4fs8kfFq6GuUXL
0hmeQ9gTrX4R0zfz4aX57S9+FCFM+/vFkTXbZTbCL8LLyRH3/QT7cYuTa6XqVtk0Xoapsy+iDgVR
15Nm4+TjaTSImfrOUkIJ34g6SqVi4KFJYd3qsopBa0jXPjmN47YsFkF96hpF1F7+XnG5EGHHtYk9
JPTVSsNU0RJqKatBrbCN5/m6AWe3HZfCzKYM9fVADeoW/hIktKVY07AZgBa9fZXQ0betUnoKu6WE
M1ZCMjBhUybKtnjv6SyaOfqaswxuDC3mNOAJsslrCu9MnaLejH+ttcrE3hGZuWrcyqJi1gyPrb6W
hDGbuJ43s6JRRz5GT0aloadF4OUzCFWpS2K8r7eYSI5DZ2srRyqXXdQ/WKlxV7vtbZPOx7DoH2wA
zBzCakYVsXmsG3NNS88xinAJhmG6x5gZc4ewL0Byr2AQCnoFyi0OdHWlcpiby+nAIPq5SpIJAycy
q1rW5ya2kx0BpGM3qq+RnU7Ip4bjmQHpLJFpZISxZ00uHaBYKVaSXSonUnDwchyZpRjBfFFP1UUP
13nMU0AXmFHzzGp8cnKYSVG/h/iUD8vx0jBhbETVdp6bfYB2iNcTzhjKmR8qKQC8BTbTavuiHfGD
Rvlt2ciLyCBMqkyq/Tb1cLOnJhw8pK7NWHGpjlq8Bn9DaFYUfk7maqxqpkj0rWkJ851UEpUTAh56
mFgLbJxqjtHsdm1RELcOXAgBgSk9wnmnGvQ56Ytm3xPa2JaZ+sW0u89MtCiZyuycspEcE06UWvF1
VQhasEcztnAQMh52NOXgpom2ZdTzxhhhP9vkMjTnXkbKNovorhNTA71PLA0wxzkX131RbFxs/kkT
rFuaYXJ7SHd4CLZikAwADF54+OC7Vu0ftcW0WuHgdFz3he3BqVSlQafHeECPuZr5pb2GewCRfDZp
xaqUT3qrfVGUcU+Q4mgEys51HsbgpRTzgUyf2FhJuG4ci24NDTPM+Nrjde2kkNha0qOlT1dhkGie
oadEmVP3OQv1ZwOTl98M2tE1ixAO+LmOdlNu0i8yk5625noD7+ZOjO29mfbrMeT4YkUg+/sl2RWT
Ccn7+EJyWEOkxJDYaw+VEt0xOLmnkQw0Es5HWIq6Mx5qVzmMo0r0MLEPdeJuMzsDveaQhCs1vC+d
KW/MITnw/C6sRH0hkQOjwkAmcksGr7pRkcczx3Q3Krn+XA7CeWpFyQBznKYAsk6Q3owUn4PVzDS4
CkGzApsb+bWSgvTLFnqSnHCP6lSfDXwsmHbQzd2ZM46urOmhJ3eVvXzCkFuR+13SM6IOxOtM3x7T
FvtBgV637lsb3GUVrKFy9BAi3JaL2VjSjF12QXkHSCvdupGq2mBzGWo/7CuBQyu56EuCMVVKncgA
mrev2nCTuuaTbd8mvPN+3VEN4IxtcRCQL09BhU9qnJl0pHb5aobA6u16ivjI4coyrTs1rBjZJBPR
0Ck8Jrk2r6Y0uE5l+dqNrpcA0RCJTquQot4usVPDqF7aLmX3l+z6RH51muFM53HCzBdbrzFkz3rS
0bLjvIAUXXWCOYWpYVgNhgS1qi2IqmMoagPLnya6e0CDJbX+mbHqCJOSjHnRP/fgJixTVhiRuhdK
EjZVw9uc4h0PnEetaB+sDkipVjIHGpPbMZuOhTvsZI1PTBmSxzCa9vHAR3QcT32Qb8MccUzN7Bsp
5zNhm+cxsi5LCMbC7B8HZvCgwA+xM/eb3oR+OeLX5t1YF3b6wgSrJYVlbxFWQGpkoEyliPdhO0br
yCgIylj2rTbzrrUZvrawcO7qPj5Iw5YeTe6w0SKInogPSlxcAQyUuzIJH62pxrqkNjuLQQPLDXSE
8WQUPPs8co6ic3ZNGh7oaXl2K2b5c+lVIj0blthhtqGCPiCIpqefFKH4wKN2XUZBTt0Fn1SZHnit
/XgeixVi8MHspuu2UnmYJolaVdk1lv0SYG3pIcCasr+FB+5jpJwpmGRamMfRlWqOXwN1sBYi0otq
AjzT5/gEpJzRdn2XFxKGQFHueiBTO+Hm01HToGnp+pEhz4sd0LXTwHfT9VIyRlK1VWmawxWeUOaT
Da2BqWieCjUKN4oqziqOXnaudX3RMrzyJG0TG3gtb5Qs5USTQuVpqGyuF84P6wkywcow4+wzXZ80
WEB2x3M/6aeB3PLXn29CftAL2ILQfuzqeEVINUL7/UE40lJLY6YfKJdJcm+nD6n7alq/Djn+cif1
d39i2Wl9EHImrmI7Jel0qVLAYkN4rc5j8jfayg+axG9Pw1aRbYBcY3/5/m/oejdhF4nDM22pLI7o
8cdxvAMf9vNXC6L/h03hsmEjQ8OmFa2VxCeH6u//TFgmk+GkfXjucLvV2C5anc9hfd+ZVwMpCLsF
jGkd3v/mv0cJ8+dHCfmpiNvsU9f+UT5ZfvLbKQKO1TL+AZvwe7DpwykCtgPv1m/SCELMNwGE9C0K
h06ppQOPgS7g/zlFOAgqCB/Lx8KGdfAPaZPG95cMSjGnFJWHIJgoCkZEPPSPVz8Ll5E2cBjOHb6e
+YRCYSWXGu1dFNtjc7rCf9BLj93hpUWovlvC9UvKviFu32ukObFWH2u9eQa/d8ja4iYmoC+XpL6R
BCcKxU5MV4lCEOYPjT5E9k2PkTo8zknxBUD0SO2c3gKTsstrCyiAlpMNjdDjO+5gvm529AnI5CRB
CYy2IAho9IX2ynCAclMKYYDg4PbZgxVvYpqebBluUxhB80p97yDJ3/tIuFtiZrD7au/E1JXUjnuw
3xtMjPc2k+C92cR1w8g8NkncPidDUPhdb+Q6uAh4DhhnkgsHOBIGdtdqh7XTWGRG32HMGC56Pmnv
kGZK47hlZaCbO3vhEGXFo7NQnckZb8U75xngcxWUge8MMKCThQZNtPIUL3xonXsr+al4Xc8BXCkg
0mWAaRuotNLMewlkundyr+gH3JeF3wOhHgcLEdUmvgueusn0m6mNP1VKeYHUrhBt6U7dQrR2QFuL
CKdO42o3Pf2GtCaui4DE1rKBM8BfKsMOIyyepHzHOY1uw+Iy18fLrmxeVaDaNEDvdCDbqduzYXJ2
gRaebTzZqzqrbjOw3E6xNA+p28FqbxopfHb/+wSMd74cVsB6u6I9ZAvnGx6vjjTztcAWbAICNwCC
D1CszAqodNmegri9gtL43AAQdzrhVwDFC4DroMvOgj2pS+1b0ZI/HvXHmUxur0OSwA8MH8GrEsri
AJYnAcZyAOazYW06KQ+43baVrb7oVrKhGPdUGfI1LCGgL0U2oePeEfr2YtoYBKh0bSFGd64K6jzy
KTe6bGyc7sDV5azcW8DWM+hrUMAhDqb5vgXHLmKxcsGzuwTB+yJ7xOp2X6oRzlxlE1TWERVho4N3
V5M+Q0LUjgPgd4rdpeeCgk9Bwgeg4YWjeU0EVxxkvBLjsgAhX7Z4ZjmFfGkcnQau8aZZaPNB2FvX
DgD62B4g0QfmabL0/NxkarLHJ8NUje4HhCN2rtPKGuuzalvHQeOS6hbgV98qXm0PlV+17ucpHC8B
qPkkC3EZhddjLW1/hPPWc870jbp+gQbB5WfYflUFWxx/00Yxgpe5yU6DO0YbkXd36RDgkzFwxpkS
XDW1dPRkFNXKyE3HUyKywlWvFHCstVNgmjdmw85eMXMgEyPveJ+4V0mlbFuThEeflDsShAr6JJhU
DEQnmXRb4GaexYZIxVO35urg3dJ18g5de1UH0eQVZnsBtKTxoqmllBJvcZAejVrZasYCpqkvK516
qaHO3zjn82bMio8FE0d7MPFiSQz9mdiXMjF8ZAPAnQuTJZhH6SlJR6OjTnVeBG4ziatjHnOySbG4
5Hr5JB2Sd5OeUyKYz5cE5U5jGn+2DdyCitB3QcV5dVzAAUXS39iF/oAcclBwaQilyzZg/InzxcPJ
crWJaTMrAIdVJqdVQctSHXSrAaTrJummY1kTbrCN+Jym9X1vd7Doo/EutC2udw2mNCirni1pkPHS
RHXOvr9J7jFbFR7cAhdXljIcAeplF5x2Uu/fe/+v/hBukz+XEU+f5Jc/ExD5wd9v/fovKndVkiSL
6mfafOn3W7/+C5IdMwcgTaSePwqIzi/MN3Sy08t43UJB/O7W/9/sncly5EgWXX9Fpj3KMA8LbYBA
jGRwTpK5gbFywDzDMX29jrO7upmsFGktadnbTCMRRADP3d+791zVYdzOHvL/izYEYrWrWzo6I0d/
P/lAQCva0kbopNbXXWwSIu78Z7tRNNY0IMnTIMETd5old0Vvtxb25OSGcIS46s2MQ90XRSVh6YYC
rkVsR/H/hG++hN80LHXj16aoHDP/ekXu3dsr6nhnUk4o4ipr2DG4Szx4Pmk2ukxXrPubqavd4zgg
arZzK/J7G3UtWMg2miMrHMqB829c2V9npC4H28ALsbSNuSFpz/ANNyGJFTKmCyi76dTvo5L/JJ/9
qVrL61rTTRAWbF2ymPS0agENaOgJTiJOT6Ryp/HezO0dGcHpFvm4sY1pkO4iZGtYN1PiCTuaMhWI
QUAd6Z0ygaMW6a1LiAiscnTg6XihtBHfEum3ZYRktJ2GjblQf+zpJooYcUaKsa9r7XpMOCS69qFS
8XjlWXwiIkvKiR86mIX+WH0dV+N6dpL96Kx9qA39Lh1APTbuMUmt2U/setrSyO13lNbLWjjrnYN2
jugAi2nMXQ3+b28j8MgwOO9bO1GGm/VV8SHKjqTiAiHDQCsZ7tLKNKnngEq/t8XB4V4Ajb6k8F9g
yTrM+QTRKToran5eSLEDvwGtkUmHD9Js2+npNyBk30EQW+FkmZdzYx4j0lDHvLkYCKgSYjmQLXmt
rm3AToYh0HIBZeVCuF29GdZSJR9vOvWj+tgKnWYjtruyWh+sAjEGGav5ORXVdZUPO7Sz53zNjyoU
M39mm0B1hwuKv7nye7z7PmHtITLoh3ZYMGUparzVy0YchJgGgHw6kNe0XS7Y+lpbtO8sP989Zboy
E/e2F1jotaQY/CTptlpTHqMivRaVcjeN1TbBT+MThBuCLMcpM3x3EnTSmp3d6PEUeqIUfjJrG87F
yEiWG0jOHOUQPtnodadu3CKe3iCFZfOtbuq6RqJoXpdR2wbTjMZzKPLxdl6SWzvSDt0k4Ia7T2gi
8Shb3X2jKggWkH9WuBPLyIM2iMttRSJDdhLt0fGHipSzEsQOmrh5qWAHvZSALAPgtzKh6oyvYVFd
mla2b61yN6tWWDgYz+fo1Pc1fQ2MOeuwIVL3zHmV1VY58NreLPj1MCSqZAebEchq44vZ9YHOGwLB
FL0msdDLPp+s4tAVQFfInfCNRTnm/XrPJA6ATzEQ1lHfZSPc1IzTLEYJ3BKu/uKJ7AWE+mVNgBoR
0RPpuyDYIYdOAFqi0d3/d9F7XfRMVEQfLnrDy//wX7o/X7qX35x5+eG/Fj4CFlhSTMcwMdn8Y7L/
r4WPfHgWG49MaiBRzL//fea1/qA/hUWYvECXuKe35h/jD1w/0J4MA9EkZf8/Ahr+ukiwHIGAVnUd
qCHhiIgz3/VijERTpoFm+Dkpv679eZ6f39yW3yxD5jtpkLwCh3rMSobmsu5ZzrvZnIh6c4isWZzF
aoW63vxEFncuouzW6oafsDU22IzTTWlCVkISfdAdb9+1WSichnOqYte7ejJ2ldNhjVbvM5Fszb75
rhTs9nTvguATmBcDPec1Ka60UbPY745Da1zFJdMxNp0A6rmJgcVuEIEXOb2kF6jWATF09HOyVGx5
smG3yN6dKbt4rS4zoGVnz4SGjIqTbl8m+35ebn6D+MDcSPYEzTxpT5rsE8aae+U0jhIWtBCRLhgh
wgvwH7K/mM2TxuJHz1GT3celq04ECX7NaUtaur7xZJ+SU3u7L2hdVrKHCYDgPqKpiRvq0gXtQzGq
viqy76nRAMVgfTXIjmhfrpAdCZeOSR1wEOIpNE+NFhATzdSqEcdBdlct2qxz7h4z2XeN124DgPiI
meMl0sbJH5Bux56yEXn6MsjeLbGo7JDdfRFnVwrNXTzVQEP0556mr0fzt2ytC1N2gzt9vCxgI9q0
ibum3QODdGio4ieSneQ1L6472VvuaTIPNJtJPJKE2exoKub9IPvRECjYmq94bmWvOpFda0H7epF9
bEt2tCNa26rscdc0uwVN74nmN98Fp5SK+SW88ePMMcejUW7WRjDROLdpoLPIXjFYvE1kZ13QYnfM
8TKh5V4DxI7n7DEZMaOWNOWLEWOtXtzZsls/ZMUjjKQvGm18OxLbmra+S5C2Mndfbdnv7wYMM0b/
XPPHY6mcdwqA8ZwRwULIRMfIwMjni2ZCminaGB/QUvFLXycMDiNBRg68BdsszZ7jSPIUid3cKmwF
nab9uTCucMkxNhlfiE59Vhhn9A5sypwBBxmggWoVf65y8CEnIAmjkDzr8p0mpyOm4twnjEuIfGJu
ksZET5ewfzXEMIqcrrirY10y16pIWLeJZW40MGNMYxjKCDmdUfRO5tTKtyeb7lRGOHB/XF+XUx2r
nZkuadbtLCc+Qs5+xlgFcWEbPTNjJkO6mUaYu+xzPDA1ShkfqXKO5MmJUidnS8nrmGl8HTmVr+On
clFIDsN2m55nOZ9q2WbgAYJ4YmD/CAh7kXOsOtmYCViZAg9hOKyA0yo5+aoxUQ5+KdRTY1u+mywY
TdruNJDs1JgNg3Uxm75mwHPW9LbfMzjNwjgVF7YWswjnTbXTVmsXzasXrrM0lplFE9ZDW4MuTYsr
B4g1gQ5wR9aRvziKmm/WunzpIuPFyds99e0ySzRcBxqd6qVQLiKCwWR8mMUAy5qJrKiZ+FpC4VV1
ouJR5NXtNEL0pKd5ZdIaobIEXWZuADKJDXSak9M6FESND+1MN5Uw4qChNUWNOsZttAcSHWaAMhva
47Dad4mVXKqF+piTImMIqROOil0151/NDFZDnw4B0AYbJa5K3JiZOn82E1FT6wpQG2zgVN7nWkmw
KRZ6Az4YdsvWDRJ3ZWCWpt3l6uZnQ0dw4PU3GhaloOgZM5aC3dAE6U5zDjqJOWFsIDkulvEBhcN9
qZeBKMFZ41ARSbhMQ+lRc8RxUu36a2UO9ClT5WfbJ+pmER3jZ5pTm64heJIjOGeDJcf9NGbJuKtI
i9tR+pPHqOUKuijuKxhPAPExq4ilg+WdxVD8LDDejuGC70YjZNbOvdXWdPbNjDZnqcMsWMwIcF3e
3tvRcu9W1vq0RlVKTgc2SossH9+Z5u3AFHPXqGO1q5e2Ju+nx0s5WuKJ2G53O7tLukpHacKqlAx7
kzg3P59gNLplh6Osfpbt04rYFwgEoehJTV+cY94uDyoMxzGFtlg3yYMo9HtXtB4MHKA6tQI4oo4K
0qdFNvmNqj5jujPoD5rtk7AbbdPUIGvzhAedyHkibSPjScdEfhfp1rx1BcqnTKjLJ6fEv417DHYY
GlsNz7E8Q5On8l/OiGWJXyPOqvMgGcPzerA4RE1dv/14F/DeT0CCk7wOR18OdAav/ftNwOCsZR4n
NFOLQpKtHqhK1wS/fqVcdv60eHwBS7Ef54YQ2Hzf68lFApjf1asTleoCYbifkfuTROLWbtXQSAhv
8hDBx9EPQos5m/IKYE8622rMdu1f+7rfbGB+e4csnZfSJP/ZVhk+vL1DVinqdPDy6jyVxNAt92qG
C7f+RKLuydP/G/00syr813K053KHaEK8+x6YWzdLmYvx3JByC3nBPCAYwHYctawb42iFkTI+KU1R
31Qez6CnHkB4ofBfGgoV0JY1KzlHreIG04Z3R584EPXIkRIZDegXlnI9Q5NRx+dUSY8c8LnnOu+N
XTKBW2gl30KkfMmHItAKMBYr5MGo1+wwIT44zAfjm4Lu0ALxHlCVbEyanhbULZEDCYAuliK2Nol9
aFf9R2o6L5ysSKQjxZjA+ctldUbfcRZlr2pTdqkmTemvM5RQbBPpJvFotGhp/CUSWnnfTghFPC2+
sMqGQySJSntbm8KxZonT8C7TlcnDRtWvLNWpNvPKERaP6kWkvghzKyznQF18dhUgDs6k7ZfMxCbZ
JWQ8EDrQ2MgV0EWsJluPmdds48T0rhFa7LuhtDg9zkcsGC95qiff6FnsVJtkP6dILunjEkvat9vU
6Ina0+fb0rYL+Kqcae11PrVO/4lBgMjI3zwPvJBIexlJabSmfn3qIkOpK/5vONMBezG8nqjCZizO
NqHIPvX0a9yjSa/6JNDseeOmBeQvo7jkrpCuACFjr8f95aCsPnEll1btPhlmlWx7eCdbIVTzgCCc
mLAU9Q/AHay6tVnudRb1zaSl7YYcRPYjFCK1rGnKWO0dYOY50JIetcsken9oIL/RkbXLFbW3/eJJ
cfmo1U7QlfqDrS/snRGzGYO2IZAAf4Wl5MQW2k+kohymSP9uO2jpm4ky4BV7u5rvIw9z79gFbW3c
2dbCE0JMwqLfWeN4mWfJXZtat6UDBHcZnojFNn32jWpot4K9IHhx+ndj4MoQDQOgkErjaEMGyIvC
MxE0nvGsGcqTloztph3wpCQOdI+VNC9lrkPN7HYqAwOvGunYk+WZjBszJ7zQdaeTQx73xCCEZV5i
YId7Q4ph3fnQ18sL6QTfWgPnnGOHwICISq02+Zhf1cl84VT2dsIsnjgpuBbYvLqX3uQNKrHFXcMa
ho9dRJuyYUNT2zHnEl7GUfFupnb4CcIggm8rwcDZdhhEHth9stFjTPSafWH3xi5lHkEQaVzCmFsR
y7BDzUVyoWhRmGvTY11DLVXSaysxkasRX50rJwRsm2Si4a4Vzyhztm0Mu+9g0tDTWDWLaNoOLO9V
h8NWKG22KXJQeSAXV3zTjoeSetIQrvUqRXfFfJox7rEm9zpytX1cDSSWtBeVBBEPQ6FcFY10CBXO
0YynE1ndUKZkJgqRISTvquQyNLS/ek4JhY3lHJg2wzloRde2FTr5xD7mjOnbXrY1WarO+EiThiQN
9dK2ug5irHmRJVPvj1EUnYQ+OkFvQetxSDXZTeO6adg37CHRgMazEayM7EKcmoQ5B0X0GHXaJ0vb
J2/qq/nojWBCT7yF4JVc0EWlp9hfltUczKOUFV3l3aXGieXj9UiqFt6vFG8qg/FuJdWTpOJ0QWWo
6x+a832cmYddVPETKOKPLyR763+7EpN6U8eu6ZBhLFfGN3/Z1A8j9K2RvEFtASuVzn2QRvq91cf1
IakxbeXzeGqaVPVrTdXA8YHXsrMabG4GQnni9waIA38yZb+ZKwMppyG+KGl9VavOXcH2jVMPKFH9
bka1BCgi3pZD+rXKzEclKZrbWKDFs5KEaDNLSLGcz8YiXDSVOMAo2gFHcB6REt01K0AhwzoKYzik
hn5a4+VgNd7VlMenjmXbUfJTrle8TAp5QW4wN9pj2XTA4aPD1GjQpWbXBy/5sqqLFRRT/NwC/3rU
Ywlv6I34k7v6a79FilKwwL65qVIb8+am5jbizi5y57M7f03WPxf3HwKU/6N+57Pf/27hUBWm8nac
L+fUvWsyD4PFwyePxcdPxatM+s0fgPMqV3M9Xs6Wfg0l2uc2qUweP77I3xVC8i5BxWVLqskw9F/v
0uz0qKdM/gpPD/Th2zCV7Eke0tn55NvQf33GX9tfBtoSjaUWfw07018vtGQpITBro5/ZxnxjUdvc
F1sAsSGBNsGjX/mPBzsYL/68TYPkyxy+IPf6kze63xuHj//gV8TOB6/16wd9c1u9MfUaL6aMDNtx
owZqON+JXXmTbL3QCwqa5jvu85bJuI8gIoTWgb3jXH37+FNYstv3/lO8fTrfSaaANxSu3nHfn+aD
Hjr+sPWuHZ+RlZ9sdo9WcGFvyp13Trbzvrqz9vfRJt7Ne+qev+5qEhQ2tM423ka5EPtq118lNO79
ePOl9sUZ4MzOOniH+jTtu4dye/fxR38/7frbi/VuB63ofVo0Sspz6SM43vY/wJrea5s2yDbRJtmk
YbUtj/Xu+ttFKA7kpcxBdgRkf8zOcGaDKLRz/3sUfPn4U72afz+4oTZ94beve0qacefYfKrk4PlJ
sO7LXXRfMVohFsVHoeyD4PWLnXtu9/pXGmnhx9eXj+/fL//v9+hdtaHUKEvf4FlQ1zp0pum0Kvl5
FGr9yaIkq8pH13lXdRB+GOO4FsuZPTW5td/UeT8B8idWT4Vp02w//qt+X+P+9Ve9P0wqiD0Nq83E
OSFJbYlum/jm/+0C7858xuxCRAT0es6tk57RB/Q+mwZ/8sU48kV887orZeNWzsKLVjfnHrRxoz+t
wv3kW/nsPr0rbr1G3O7oZMN5lt8KoA9UycHHd+qzv+PdAyaIQhMEeS/naZyD1D6XOfT98hO96CdP
l/OuKtlRrCw051gNZjswvSrMi+HKMERArG6QTfp5JHHl/+LvQm7iaMxZALi/u6RrOAYQs0GczfJn
l0EsS2jy7T6+xm+/njfXePfSFLHXK21izmcrM+nf35TlJ12Fzy7wriSueTkbGelLZ5Wijdw9N4pP
btPr+vjRi//uOU5Shj5RwXPM2cBvg/g47uHQ+CtG+iAJkd765Sc0GLJWPq418q9+8+pgkjS0QU9Y
o55oDFdUVeDiPjl6L5hTDqN/vQYN/+FbYRkAr7lR/NshlKv69XN7bRw5tZPwFkKJ3VdBsvvs4/12
IX+7dXn/5KTdpGoRL512JRdyxe93hXmotMDPd+bmsfKP4KNPP3EqAW56WE6TP31SvXRZnj76Ut59
7zDM7KT1FvYSm3FDgtXq67bvnYrNrXe2L4gg2Tzr28iv6Nhuu12zcwPlkwr92Udw3q17yiwUs5qa
4aycan/e0NnMvltbbeOcxI9534TlhbNTdsrP+NkI5l1+FW+yHx+/Xe+oD3/ttP+9Srx7TnI0q2Zf
8WiSgrFtfc1P5a7ukAf344EwtlRuWs5D6T+qAB/KbbNzrsGcbkSYHCY/+Vp8UilfD2Z/+1b+/bpb
726Jq3jMhipKShtCZd/ZJOZsMdRdpCfN/xYfiDcM3EOzp6l3MQfOQwjmg69o2OXbu3QjNwn/3Bz8
V6su5+j/avFKLMA/Lf3Svfu//ic8I/4lKH4/uOdH/xrc68QNIlnDWy+/NfTlvyjWmJqbhmtYTPV1
CTr6S6zu/IG/35bQIpNgDUdCvv+yvNpYXjHIMu5H4gGU4T+zvP59sI5YHQy0K+GgXE1+iLeF0NFi
rSg6q77SXWYr+jDrGIaWBbAv00d9jjVabfm2ACFdlZVOnkeVPJfgpXGzbV3otDXYaUe0h8xSrlaF
JFNmMEFBZNlFIVnVqGK+LMCrXY+EDrdHQusqQzgu+b3dRVcZpnG/eeVe15lzM8cGGGeIZI3KHNxW
cbxamFg1ItpWmdVGbs24S2DkB7mFnqhShyRICXdbZcqbFi8bjdi3NaoxwskkOGGTCacQDjcvsu27
4FW1iTTdJDJDbhzVh1GGymVLOOn0eQbPpEf2mjxHBJ0ts+gamUrXynw6AkzRy75m1lXZN494q3CR
eXaixBVWEHGHXCg6FDL1Ti3nsK4UdadKhagltaKRVI1CNqN/gJA0lYpSRWpLUZ9dERAVyCA9mqzg
f21xj0OW8RTCVOlEbqRSFQT1hTmn7daQKlZksGJTSWXrJDWunoybyltx2TRZE+RLXWyZPO6azjpa
SGRLpLIeUavSoGbRd9X2jtTTLghrRwS2cbWeV6m4FVJ7K7LuqZC8OVGjykWeizcBlpxU7HKoDBSp
4a2lmreXut5GKnwL3YaEZ9/kUvtrSBWwvsZhK3XBxGp8a6VSWFf7s4502ERCXKvlRYmkGEXhyZAa
Y8rrqR15ZiIpP07twXelIlnFJxiaUqOA2bJHtNy2xqVjJfB0vBrFtVQ25xqtUqTOXaYAi0H7vJID
6VtSDy1c+xYH1CVe6zrsFraVplRP6686aqmoLqS2OstVB3cB9lNQRrPUX49ZdRmb0ddFKrMLxd3F
OMI31qB+MRFvZ0bLnKHIELKj63YReMf4QTUE3yvC7xYBOPEZAOylJjzq7UPcAr5bkYsPor9K6WEr
N3XtFOuPZS7yvVNKOUjzBTk2dFp4jT2M2MuKIc4xG7znOldvB6v77jZL0LUV2cXxFiklOvOJvFBl
26n6qS6Sc1rXxznrz1VdXI8Vo286+6RkRWI62JH1ExuuQEQ5EeKRCvqgBACP651ur5dxiyhRY0K5
JZyKrE3D5rrmrilg7UspI6oEAp2N68567qXUsRTeQ4XIjhnqqdM7dJODdZhQR8bNeg0AcR+NKQGH
lrih2NGoHza6bjGCTNlXR2gtjX64wLaDaRufbY0a09EcmUJ3tzaIBGwp2EykdFPvAASbpVPBTdXQ
LkqJp8G+mZlSvG+l/FOXQtBaSkIVwZNTNeRfVlIwWnJqcFGQOmb1s0ZRWkppqYnGdK0YB2m5TDlG
fmpJIaraRY7vZM2fTEXBnefJZTq7lAlVvYYay8vgtNoVqcE/jNWZQ3WdfoieWUhpz7dEpaOTqcav
yD62rak+Lalz6RbtlhEL417Erpgve5Os4vixgmOxIZRu27jLboxqzPndtZeSNQqRf5UKRKuNzpnD
GCu1831dLZKraD24xBtxZab0nnmvqZbO6L4meZoRFnD+bA5bRb+ceQ2undq7RUu6nwszheJP19gp
dFBgGZuV2tB9yxkQBOHNGPLeRMHeviRtAwB1oZ0NPjiEFfIz9r6ljXPbD8Ztzj1hHdACPSbGlPCi
a4L8tmqi8C2OzEyaCFHFuE5pMI3ZLmkR7aRZgSh4UL6n/DrXzSXROT4WVnxOAKyD8EjHk6loVcgX
uuwtZl8yhkUrG0AuREFthAs/dUZJgNw0PpAkFUQKxA7jlAB9YGLifCVOID1Qjv14JsklBk2qJO2d
nkY72EddECe2CGfy8nwv7r8x1U9xPBi7znKAo7QtW3tmlajG7oQ1X5hqn5G51u5ERcpo3pzxGReH
Rpuu4mG+VZc6ZGq+YNV0TnXr7RW0behjFrGdhP4j98SMxMm5wcsKRloGJ7xuI/67nzI5YHy6n+rE
+hsdJD/5ZjtlwZSxMACyAwLY8ct2ytDIIgE+9Ffm87+3Uyi0Xzfz7HHk3OOX7RQNXB0/kKMiO/zP
4JBMJH85NfGbXBWtAzZe9nSO/Ci/bqe8SGES57rNVTWn9VZb7A6dGzGNxVw9pp3hhsA+NDykJCcW
uQMHwBoOraURnKyiqC/L6TgVg+GzrSDbVxX7uI5DBlNowzok83XFME9GoWdO9ucUdWSajIjdxgpj
UzEQCOaAaqBVtnjXKBUfrI7gi3Yy8C1BzqBR9BDHQ41J5jHKjHuW4erKkREftQz7EDL2Q4UlcSwL
BDRmzMze825YjWd/5skng0VsY52XgSSuPQaNU9bMy1adq1Dp51s2KlezfJEgeQA45001250lX7WR
d650urtEvoSgzC97+VrGg7HLVS8JIt7YRb66dRyPoSNfZ4P3Ok7bOzIOt8SiEd1E9lbfdelhpBZo
WuIE0zzRsGk3urty6nmtHXO5h1irbWammJuik+mf6230WnFk7XFkFSpSYklKCpPXpEdPVqqMkrVS
ujJZw1JZzShJu0nWt1ZWOkXWPE1WP7EaW0E5NGRdZCqNhkh6/imZ5Krd1v13nULq8OuErKyprLGJ
1r8kojKJ8aT+mhTiTFZkAA0IOm2CaGS1XmTdtingLoUc7kt93ZbaZStrvCqrfSrrPg4Wfbfq+r0p
14R89DYui0QjVwv2Qvtcrh82C4kqVxSXHXvEEtPXw/XEkjMUhN2zBNVyLdKs9NGTq1Ml16lIrlge
S9fKEra0y5POksYW4asp17jSGG/ZzKCjZ/njynM4syCOcmUkz8DwW21BncqqGbF8enIdHY3uT02u
rGhy9UMqvR+JUjph6wCcCpeqb1lKkVbhFemysTnHo+IcG+kkmV9NJc6rwcRogE7C0GHz407H0TJ8
N3K2XTPvJeBpsQzyWKPu2TMhPiOTxArScAkG943I991EQ09Y3GKXvDWlTNYHo6k139SxHRqNc+e2
9mnQlh9F0gJQzq3bIkrik72O4VqOZz2ZNhqs5ZAp2yrVEd+ztfEOQ+18hxYIQdwlocYavZ68lf4G
4R+3uLuMMGRsgEU0x9phU8v0nVxouDQ1Rsoodokwmhd+Yh5rSI3xwug7+lk00TUCNoFdcFCvxkTU
gS0AK0ZrcWp1cgRX1W73sUBzieTSiarjlOkAuhDTZg1JibY9DBeJqSA/hl36Q1Wj/L5WzQZZqguc
QisShMX/XZ3+IdSn5/jB6pS89MPLb1YmfurNykSiJtms7GpVz8FE/m9rmvEHolWZjWGpzCOlDuef
K5Op/aG5DMVpMMFQdF+xV/886JsqGGS0Yv9Q7ktJ13/CtrLedbJYmYjn5LewQloGXjhP9vvedDx1
efGmaItrlbpFsh8KHM2cvgBbindDq1w1CWYptlmXeUG2Xre4+3aJG9S/xAOOs4tCToIycPfm5GJV
GuzVxfAgl8dUbtfYu4XY2kMUlrO2nzhSlSVqnQnFOwP3594iYBEpJOChJOxndqBOdrkM4gfm3nDC
mT0oyI4XraHsmd9sQFXx4qXIpfC5K2kp9lnT7TvPI0AhJqzB2q56FhKbmxDGOF7YoGId3G+TjqBv
6cwUfK3+UoBOBvT1lKijtXWiSAChQh7aoU0LPAtUkGn3R2tGB+5GzWnQYQQZWZgn2V00EtdMrhGa
sYYUTVLD/N5ttri51X3JhzsZEAaC1Z14MSut8qlvV55RfNdTqE4L/HU/jTlqKEt03xU1r7mYN2o1
KRST7DI353qTxnoeVmNTBEnjQMudyfdwFjfMleWYWAMkqKl44PCnHMsW47xb3yTkpPiV6x01ZMU+
mq5Lr9LvW056tGxusLwpoZCAHpgYO3V1f2qKBEbp1c2c0MchH+Y5yzT87A11KUJiJQqjDBbbuF/L
9Dmv2s1UUM+JRALdkqYX9IlOWav+7PvV3iP8JxQpFUuY9DZiuci4EUPymGR8/hjEAThFaIN2Y9Jx
AdnTVIZJ/JX4UWf5AYHOZoqJ2UgREC+DRn8k5Trq3DNz8yp2NMkTmd63c2fOQe02KIUNsYtjZnJt
NSz+gK5wM2X8XEG6AmeG3NyVtbiqaxdGTsT33tOq0OYW0XrzrIn0AqD8RZd66UHBUxFYNgujqaNo
8/pFxxFs4JMeml1k1Ocq8S6QhDlsWXqcDX2Kp7x+brM23bYFqjaRdpvZrLCI8UERBTHdL8Z9q6nX
ut4HjTWVtCCiUxeLQ181D0IZd3VfEZ9Ub8m681AbpWSZ96MXmjJV0y5QMLvq+LS26Y9+1LFDzzs8
yQtUoJbUWltKgPmrFue6bqchgA5w5+bFdlCPLT3m8TIi7GBRPSwI1ZVmVdf6iL7bWq8UAZlqXMhK
k1tHIWh/1MlKI4aGns3+hgc0jQJiYiOaWTa3nF+K+KcJkMKXdJHwpZXq+DPJ53wzlwZycmkOM/L+
zzmDQlO7P51sFoiP24wujefttMo6JBouhpUMMA5WOAd94m4xNCgz29XZiAKUWtADFJfzO/yreE6G
Yx3l2bYcTbJqgB6JJP9eG+MTHM9vZPllyNlQXMbGdL0IGllZao/BMhDTQDkacd6ISic5Iy6GE7WH
bZvbcO6c21b3q3I4WBV+uq0BmMp6GNXcdXcJFIKdMJeGd6mtNFSkRB2Q9x3PWuhWikn27IiZaU/O
0YI1wyC6/Exq2SLuPLXUhrvJ6xTjJGaB1MAiG++pW019vMqHZl/HbP6aDCNjbeYmERJW7Lfq+qJ1
8W1PQCHZIvPRNCux7ZRu3rmKfbKcmbRCgIjo3O1vxGT0+CJtErwy8ylXbDT0I3w2TV3to1HzMOeV
C2acKEr6KfXXJjJfiAwkdMHFpIPm/ufgJXQGCBCknTPBF1NHpJEDLqYlny+Xpt/MqcfAsVEuzaq7
USJxKt36K/0Z4tcwusxLRtIXPLy4sYqgN+YjUClLnUBOOc1Lmte3tgyVHHQrCWlCs5sbcHbo2Tnq
vQslW56LRP+5aiq/JbZ+5mP5BUDnRlmP+jJnG9MC9BZ3t7lsIauJCmhsMxMklziXal5g1ZjrF/Qy
h4Qws4CcVYJRiRvzeRjPtpNjCLI8TiKKckNjXd9MjrXiRxWXSKsw785RwF1o9k5FT6yHA7czzJHa
bjbA4VInXOkXQbVT7od8s1rxo94RxOjibtgkCmcqN/cmLt4J38u9vbEiQV7nAsLGlAJ1c3HclnMD
j6SeLhp3QDvujgi2NecqnapLOhEl0q/oyoOt15c9e7PhxfamJSSA+G7h5MMOktNZ5LGAkHf3EAnR
b8RUPdIlP2ZKzmcU6xNyfvxnwjZ5BsikAqKrBF09/Og974ECvVUb2O9lMvh6bOyZvT4A3dopKfEu
eGcOnOeuR7e59az6z5SFzudgezZV0HUW791IH3oXrVoXWGp3iJWRJWGYYp8gUSgweX7wrEXyEIng
cvV211vpFKRmj99JXLMT2Vb68GUstX2TE29kCrwpizDnMFfLMVQ1t6VjGTF0i/lfh6PKxs6xXSiK
trPpyR0GbmjQ46FTmz4DyjQcBenLfmvT0+rnB/xpKvxEFkFKFliONd4pk3YqKs8Olom9dcebdoo1
/drWyMBS+qb1h0otCRgpDCnV1MDctVGQOQai0/Q6ERkO+BoLUsU4gCJHgbOm/VrqvBKWe613KDld
zSDDqZ6/gcp/RPFx1VfON/Tb32Zb3Ta9/VTn8VMdN/ZmMNJDVDZPau3uDbO7m/AfowQGA7jkBEUT
zNJNLzItSTj6Dy9fj7FIb1bNaYmuVu8qUxZxxdpS65P/NoX+QcWWBNgPtt3pj+63xlh+6l/bbvUP
aK3svGUiLkCztw0h7Q++Zf3VK0KWhhy9/dUQ8v4Ag+2SUwdAyDB+Qcp6f/BLoDhIkwnULwZi7xCy
HyFlMeC+bwiZDr5dfpeFzVYnMuTXbfdqJGWi16l6Zbh4GaJyheuqfa3j76pH84fBTGdXF6k7Cj+d
PP1iavj3TneubK26Em2zxQx3WwhAgf0aqIsy7/o8eao6a9fSdDAqlyQphh6986zZJja8eQhXJz8N
ltP/b/bOq7eNbU3af2Vj7lvoHC5mgGESlbMt+aZBS3TnnPvXf89S2FagfY4PBQw/YHMuZmbLalKL
K7yrqt4qKhr6xlWvucn79Jr8iGKCEU88LQpoLznI79wQzMBQj4yByCSlWI0+F/1wvFV1Ce+UvqYU
BbLtQ4s0smBZ4W0xCdPxlqCpZedHAd2rtTA+uCNA9Ga0s2MnLG5pOk4mkaH+kNj1irL5Qr8YFomN
sSgdaTFa43ngUGPyl+3nDnYwlFYQKbU50VxOPMvtDuoAhkBik/JSfd8qIDqq1qautb8UHReTnGDU
g7GJlEnn6kehHGP/10lLswuAaRDFLhsJ51Id5aHSEpFnXnZ5c0noXXkTG8MqzkFlzMI+9Hz5q0xS
ny0MqHO5P/Gi3Jh0Hh24Rpgu61YKp33THOl6dWA6ItbKNQ4H5QHT1G+e29wMMJN0sEQ4jtod/bL0
dMQwVLGlrzULCAbTuptHO/JOJtdKoj2/rjwCs7rWBGQblmE17NMbMM8JFm8qxszzYh3HPy80S1wm
6rY8rXvCoOauFWb7tQFDg3loQE+Dnsv1QWbDdNYWyVqKWuN5WWRySd0W6MjTq4pKeRW3BZ5RtaHW
7NF4Ek16WAtd+OzQ+RMTqucB3XNsOoSuFoAymXaf+mVBxxgIhKZLZHmoGf9XhwnoWN3T0Ap3EBU/
BPZJ6Q4HhiPFxFIGWqMNus3GfDiyNOtU8lVSrNScZ2C0nkn+bdzrd6ndk6nWt1cAND4BMFgi6YXx
EObVD0qG9VhjLtBa8RfP1JkKmnaCYhxaExPmMpWCedjV2lw32vNe1egIcaKl7pd3dmTUCzJ347nh
2ndDDdWQ65jzmlb3gHeECMXuemYO9wZ85+ypjNXUSexJp95d3BJk7x2mffig98A5CfMFohGY9MhM
0/0wyy9ajbspNfFNrtO4YGaecLGdWDrWHZ5sfnVJxN43+C82vRLeWFwEbjwddKki7PAuNYyKZGic
w3C4H4MZjyL90opmEgYf4DaU5JJPd2TZEx/W8Y3j03vZDJl3EPm+yCg8Hcv8sE/zH5jWkWyrt1xm
iyEq7/+Bc57gHHD3350rVRQMWbMB0OH3/j5ZlD3yXoSBAoEKKvEvbwAdS0E08Xx6CD7hBdDBoEim
U0kGB4CieHRj+AnoOELlgcG4LgstiPUnJ4vyqO78KQUSgA78B0eYcG8w+SjvAB0aaWn4K83svC9l
CreWPEU919Ej6d3St6hwMSzrJ43ccfZohnwkxwlghRlY0UHMtncbJG51Ap0Cn6VpxVVIQbo0+qY6
7SI3f8hr0fgesz35sTWAiiv42eZ4sUBOAC6cV2VSnxUh3XGSbOJMQIOpTRehEs/G1E1PIy93HmzJ
v4TqJslOwR1axeRwf7TN5Ka2B4MlCCdAtF9zUle+dUDfE679ViNFC8UYsi804WH0olXqmm7o+NaQ
43TpGRVLOXerVas58tyX7QDnQKfbt8KuPMIpPL/oAG5j0qzhtL181naKTka2RLbgfVZhR3ikpO44
0LubRQ2N3HUjrXXPCf1TkpmJtSzcKi3PLB8YwvKU3r/yQ4fbQ9fQ2jtS3Frdqe3A8ExkT4eYWJDj
bFvE4rR0Sc8MbqfBkSmlwDBBEw/fQ4JOSZcna55u9v7O7GJtReSFkdEyRgwppCVHSmMOV3WXjSuh
z6EbTw1k+qA4VwJPcfbdvPW+M5OCKRmJ48qt/HFtBv1tKRWL1AsOJQtuIFG4K3cGsdZS3tGcbCvN
sB/RnUwpXQ/HUdbnSBicCB4nyfDvDjovoI2vxsIR5QWATVR81a0A6sZRbjQK/2Uu4dvqy107MeyS
9smwMq9sei4Paql2bnK5ME97p5BnnCaODFlsZNduJZN60MbOd8nqpEM8Jq1J3idnoa1Is7Ju+/1W
giead3FR1LPeDXLitLLqgOTZ9BJUteL+OZrfPOrp2ehY4U0PXHBshXp4gsA1vMNVIZt2ozBXjsbs
bmx66YjJS+KvlXZnmES5t/aYdDdpWMLAZD2mT0Gfn/ttXE5TGovjWarr9OBVla7MMcnzCYDsjWrm
ldw8yN01zKXaUtbTBqzHRJr3nXYBe2d7EzkzlXWe5eOiEFY7DncGcu9pU/pnL37ci4VG8dd78fXa
X21Kvha/9Won1nRgdRRxmLs+hib8bX4joHX6qQXZSqUvyu+XnVje0+F1bRvEHW9XnBV+kr6U/8RG
WGKntvgl9u8/qPENRahx3+7EJqmS4r3osYX5fLcTpzGbdMzHOGsdP6pmoabdeIa8DNNUOmxiD1Mw
fZwa4i7uts1B3w0KVC9uF0rrHNZGZE5zQPKFF+I1IGXoEsKEm6QSxHR1JvOwye89tVdQEtVNj+DB
zBpppknNlwojhMshCbt9szRdmKABLVZvwQNiVZPTCHuCYVAzMTyVVhtL+V671Q/Zbepl3qWnpRoq
0I5ZFc0BVy4Hpb/gQm9eFNQ1qL06otXiFCkr+/UkdgSf24D2D/QXIYFJ5nYfLUKvkZZKaLnzEMJr
YjfBg5KqfTOrWu41NS6NS7MiQhd9kDupNTobIzdVzlw1RM3bpPw330mXFuYXk5y3H4M4nZSk5PAu
QQkO7GCcownIQesorFELZj41kbqsS+juOlVXNX3kR6bn5niztgYAQXiZGZVwvj1qJRlltKnRN5sU
w/4ofB3Lhoi2BuSi9E2EirZ0k4/VlVOWeGTK9oFRjOdlFw0zOJmvKL3uszI7LbAhmJSKf0hyyDkJ
QtdeizVI15VYpzk/ylw/kBvnxKg6KNpKMqdKqltIqLLbsIsPzTS468OavAZH+tF7Nv30tbMI4vab
kTrrPLWKA0VHqxKmtQ3+y7C0MZuy5nv+cRB0OIBiu0HST3ZuD+EXxGrJpEu4i8Sp0c8l28GNkxjd
yVhVX822usNvdZrpajaPMCwhmzdAwRgXXzLq5UUio5bqbdObVXJ/nfHVx4+4atDK9ZwII4zQMIeb
enpzngsgVhaQbAk2q+f1bQtWm3AdW7ia8pALGJfQjvowdVVc8oB4MYZvF6aAffEJ8Xh7td9vZK67
8iM+HAioONe1A0mAx56dhFPNzlgIIMsDCLMO0qwJyNlxO2uuhFU0a8zqR5eCyVTykExZ+/k0F7B1
MFoT03dxeIMNAjZkjbh9FpNMC+DtKsWUc0fDCaLd91pAcd/uzzRQchW0nATjMzOyDyRQ9EY9QHzn
dicOz8RZ6ioXgLsJ8h4l5lfLSc6gRGIkceEwc0HpI1qDMRJaV2l9SzM/DnF9TbN8mDvzynLKaUYO
E/4/MOxRfqKqzX4lJTcVvEBUeMc18dJLBcYgIFdChUHQm46rriAVyr4/S2IVu1o5vvMhIAyT0sOU
O+sgLKxj1UlOA8iKWLAWiGdV1JfRKHhf0hd82A0ojuCggfBQIT7QU93FggmxBSdiQo7olvG1Kasz
VbAmfpQ5s14wKXR0474k2BVf8CxSU+97mP5OyJEjQRoypjPdr6NgZ7AEqogpwD9KMDdAXzTi1fEs
h9hxx3JdCKaH7F8hklWXsmCBfMEHOQzrtIUiUqGK6o7sR02wR21Y6fS2l+YyglqinfJIh2oKfB+n
QME+xdBQMnTUCC3lQgrhiQRTVdALzo1YuSS5hyoAANzT0gtV8FvkQHNBavbxEh6gi2yXXtv2ooQU
cyHHWr/iGinYMrwYA8GfuVZyEUOo9VYgHfpQbIHg2uS6PzQh31ovhm/qVWMaFnE8NdMumseCrRtl
/4R8DhQJLjnKUhn/8Eb3mmgy1IIKl05N8H69Hz6UOaVuRpEtC24QYEidpoIv7DxpXNZQiJYAOcdi
vBgEuygJnjFyvKseH8BGEJAQkbh5tQs9Lw8RMvmcAr4HYANvqXUmvhkmtoj4Ld4m3AeJ+VwVVR/s
94L3tCFAzSa5USFERwtzQyrJud7qixLKtM3sowAKNaxcnLWYRFRSJiZZEK2DpdyPEK+Gx57dQ8Wa
XHtJ11rDo53UULX4Y8wtwd1WA7GPkLkZKTPkuOB/Ac2L7mFpQfvKXr3QWyYBsSXs3DkOm6DqhuCK
+8G6xnzzZNSNdVSzUQaamc1R8ixZ3P2khnJWEDBgaOWclQ6YsAotHTNvyd3B/9MScGqr0n9P5j1O
iKSKWyNxPoO34uws51ngN/RkI9uTNc08s21UuxTZ6n5ZlbdBpFwZaRNPs9G5Uaz6LsQbZ1KyL0wq
OOdJbNG87fYKhLL9HQiq3y+dkhD67HsZEi+U2tlDhRyDkAwUGKmv4ZYdhcbMxbedM4+QHX7W5RiU
OSSoA9qgL5GyuZM0D64Z5eyixYPmp2dh6FRoGl1Ul617ouBlNdG9gbbcDAdwr691rMoaxGA1O5hr
G7QkyqyyPIBbRkWWNd5yIN51brFPSi4+6FJ6NWSjTzpT+C2ysJiihAVopC3UJegkpFdndNsrxcgV
lNKFdThK1kFe+xzFKSJ3QCoL3fw4wAkq1Rmq+pk3JD/oyM4wFEfGhfEU0WnesawFOFXV+Q9bSmFk
dOeuIzV4LhU4naDsWUU+Jms51nYy+RwXpZ2esJtXjnuit/6+H+CTjGUStADJHU5xmsV4cpmTMpAB
wkI88EcYBafwn/rV/hFQGpSVv6mjG3pR1h8RDfFbL3U08ZAEfrAMMFJUnirilzoaf0kwakLZDMcx
5UeF5AtWbu6Re2tRLBvyi3rlpRfF2ENIQgVEVc7KN2mZ+YM6WrUFFv66juaNQUxkPgO4CXFvgDGv
JSpY5ctFCrt/OsYZmxHxOFzO6JmMuEvKLfFbZSxI/2A6ZO5JUNrdzFC6alqm7Tk+jQcW6stJxTV8
4mDSUknBEQTRyWCRH5NhAizL0UMLUTqVshaHFgkrU7dTT7JRxPfIpjdNKiHblL+yN35TK/3WKTza
VXyHuieWIQylcRHrkjQvOh90tGRH8iQijfPwC90o3/Ihu2n9AFFfXeGnZJpfyqI+SNF91o701U0J
FCMJBcvXkzbyj8Fyv1WZnZBTaJ3DPt/HZCnOE/4w9ICBuQ/4SpNhdpcMuHWRU4PIpoaFKuKOXJru
ZlAxn/DqbqHr+MKqoYafRUcxFEn2Q+G3xoze4+Oqjq+7dKQjzDPmRmRfZoHzQJfCOWAycc/Ie8Ax
wnrudsAaeXsrR+m9W2d3bqGeVVl6DzqGG2xUevMm7ditreQcVGcZ4C2lh963WMWdL49t/H7MSGyD
2X2nOHB7Qz1LhhJ7MkzksVJLKHkLtkYgseO6wjpSd7EaASfiRFoMuCPLZXfoOc5SBEINY/sj0MM1
0cbXGhlqrjbeJt6YzChITylfp45cgtN3FibycljQoVSYFxS/J77T/yBLIJuRTUGXiStPmzKsJoms
ftU941KvBxeiIbrWPfVHo5rtwRCIX8dobkEG5m0iNcsq8wF6DXPR1MRbcVEKuWzFd5hQRws1b1AG
GvIkQLWLj1RtTGQdKHeMFrKFcxVQxH5R+xh5RpgaNjnfGrJ5bPsMc9boVFAFqWNmUGEDXeVHgZsU
h8LLDNtSrAyNbry0MIvqUhIWCr2Y6qML/xFxC6I4AdAZK7x0GmacAbYytUcm8VDxHSZq7s27crwi
qo93TW1iqtqFKzdXo60dBh0qJEvlVlUVrjfzYuSqBJ3d11l/a6dBPbHM/LusZOUkzdxp2fU0gcgB
btQlkmDJX8qpFM4kC5djWc72zUHeV2Sin4n7c5YkcAwTrbXXSVgcQ5u3ExjffI5j44HpDcNMbVAj
e0l/g9klTtN0izAbE0z36+8VF8mpXComXmt0jiS9qR7paURZBr3nHcSq42uzKOq+qjYuhfNSqvzg
C8Pg1mdqbWHmbAaGtjDdRE6vLeyUsple56M2ITJdWFnZiXXOIRmY50NB4pNW9N4dVnjzKmYKTXRf
d09zXAlpWhJFE7A8AQK+RRXmF7IIvzP6C9IID2nKCbR5b7UaNmR2PM64PFXFQWPJRNkVATFNU+Tf
cTKrBo2OuZjOHrMv9uVQU2+jjsvPSYyDKvtM7CNJNq172WuakLvpUMKboMp1Roon3SjmQaBa3rVc
W3F1p7qth1JBG0nLKOTEdL+RtefrJ7JaJhL38L7J/6GWn6hl47fU8hfymZtN3LL4tb/PS3vP1ARp
C+hAE7/9igF4PC9F8pRBDPNTEMHLeanvObKiovbUHdjOxxaFl/NS28OIUzXBnETogPjRH5yX4jR8
fVoKS2Qh/YfhVgyH6uvtadnLROiWZcppKQ4G8H74XhR8yRMu+UsvIEX+AG9h66giNiJmCwpb1t8d
ywqdBYUZ6vmp3BjODZbF4ByJFQ/jEkTMoOat00Y/ILhtvKLdB4EgHo5fQ9vy7vIstA9LtJxHiiWA
Zqs0+nN/0C61IWsRjwyeVR21UVhp31o2chspddG2iKMxPWv1NpiYkRSTzh4TbBDkeabOsy5uELhL
5DNOgspNqfAHZ27YYynPqvTeiPXu1NLz+ExvkNFMlTyKcQBze20aQ7FLsbBz5jaTaWdyK2ye2zg8
K4Xzc5JjueU755oirw28odPCW4BpX1v4Kqd4RxvCRFpFZEh7RTB3IHSdBKlbcuAOQ4FzLxlNFTbU
8VD88G3/Eg//UwWb6kZrr2LhsdbR+nlnRcD1wqDnRLLyko5BwzyMAwcOP6ELYVRxHJAk7YceVmja
XZ8U7Lqgzb0l1jqIJYyvO/sEcve0Smm05MrC5SEY1f06tW4GRbrFD6uYYQJHn0Vdeyo0O5EJTAsX
FgL1wRwlMo+gm0uJzPKm1GtCs0079S8rZPh4ZSsldL/c3+oxXjMWSBLCgqgpZ7pUIlKkm6Iwa2IN
JEU5fVWqnj9N2te5uOoHlQRwLKQZIBqVpqhO387lYigLzyNq4rSaJyvugsoVMQkTtKrTepmSj4Rz
kDeHj5qXczwZDvWFNqffcBr9i7lusKJfrSk6hPBxoqR1TEMUu4r9zokEc8qu8So/O3VV73CI/X4a
4aI7yTsdKZgVOfOidZE0qiYHmmvLJ55VuocK35EZFehpLdxFXJmiUR2/1X3mLCqV5uG6zheuPX6z
DPxFQxdqnTScr0WMglEti2FqVTTScplGyuUDbxh+P0davd8piLTccVrototUxFmOGtCoqu5jMapM
ihqyPnD0KW3FyxCBboZkaZLJ+bzrvGOVhgxEhHTDtERjJklIf3NbnHZc8PcLDzc+PMluvC5bIo46
aXpbJmEn35cjJprlFKgz5fDq91/x203k2UhBRnyuO+TPa867TcQZ4cHyxC1P5TYJ99kIaDYv5RR5
tz83MsQbevGvTFc3u2i8es9336bUQzG2kVedFp52Z7iIDRsPOKeylnrSkG3gIoA0afG2UEIYcUXv
sJ4OxyM2xHSpG8dZYN/KAdQfLTA/OKsXOa2EamZeyO54b3jFt6TD57IgpP7JneSfK6xol/v1FfYO
FeSGCyy/83IgY6bAuiQ4XCGpm1xG7RUlr+5BEXFHpctBZjPh2vtyINt7EPI6gi7FZvdmh/lJBNl7
mqLRm4FxG9yN4Pj/4ECG63mzfUDJg0SbOjAT+wgthe97LEg6CdNYDbESr7mKIiCla6e8rtXEn4Yq
16JRSbPrgJA/Ktkkuaoal0ACWWmWzegqU4XWUs/J3HpS6NqpyG2YUzOj6bVCmpDheGtVNo/8ov3u
NF1+nQ1ZNY+KuD93PC+fkulpTZ3Gza71qj0pZWrPOkUXHvhoWr0Ca5su9S4Rb6X7DU7Fc691lVml
KDcJMQXLOEZ2H7I7EK93oA32tVc0WJ7o5DObbCFncdAnU+6DpAiY3dLp7C/pqAY3hU5onK8O6aIe
HRwCIg5RhSE4w9LHXfRy7SwRO4OKdpjH1ImTLLvccmaxpzlL/HRxGPWs24wwEqQLIaRXkxw30DWR
I9111D6TOmumTmaQmeLnh3KjzyPLk+eq1x5GpURUsP2F0TzJMigguea4yoBACRzzvxmtvupNhzDE
LvvqFdFXIS2d575HsI8XXNV6RQ9fLCE2SulCNz1vGY2c9JKZrDXPjyd9ah6axOYAT8KCOUaIiSpR
Ywvf7chJN8Y7vmjizs38KpPcUx2230YjpxF2zF+iPbhDdU5TQXuMFJ2mxxory6KzT5HHgvK546mR
8ZXWeT8jCg/OQfuuauXXsYvuJRcn68z3D6O4PzM7wD4QyhpzC5hnqVMPcH3GX7JBs9R5zhl9RfVU
TXR4NvM46xO64rGcmhiKf5d744Wuo5ArLJS0/SjRJRphPAyEPTXtIrLPtIHLyndZxSn3wOJiPrfo
gkP+NQK8I2WfkV5eTXzLWEtVtAgaG32dNCweRW0Y7Rpg6/Fhi78H3ShQYmqiHGsWsW6xULK7ssKJ
bdjB/mBEc7vA6JU2QvWyNIx22tolDf5ehDtEruP5HAzzAOH9PAudBSANl+loZJAp7w4wnsMPyohw
fGWBT3GiXmpefhmnKQ4egX7Q206FfiGRr1PfRXKlk4SVpbQvGdij48aSzFS3m466nE60wV0Pg7oM
JNs4iAzjuqxduLW0npKpNbUs51SvSMrpdMOcJF0j00VvHkh2qZ9Z9QBhiRBimisBmeulftVGWTZ1
a+OYwDki5mjDnMqScVgiPTlUhuyo0GPloMgCvqUa50XttlLcM6nzFigY+gVQDS1XZRBNnaQkwwqk
GDR4Zhfxdz82FnaWs9RZJnlu9Qxs8i33q8Pe6vKDSLLsWRwoypnf5RoYBQoboFSUbDqAfGO7p20h
Zbicm3N1cEYoFUISNUoEbEP6i0GpEC3SmHpYDCMpE6rqLuWi1ud2len7g+c6M1kqqoO8SI8QSBJM
4TXaIT0/IzHkirSvZ7imZ0V+YUqg5GM0HJLfdJtLiXauhng7s/vR8RPoztTHxEIClPJ6D1PEML8r
rND7UaU4Xvgs4wsrDNcYvNZ0bzgaVNrjsfH/wfn5/BGFXdA8rYN6uGjW5XC5rsAh/tYNi5+eZ0SM
XGf/2T96OaM2P+jZp+h6yPEpWj3QxT0LqroM7mvORK69fKqDh//+r+dbMpX2mxP58YM9furfPide
8ZzmgXegT5GKXRjOm2RP8eJ4jTPER08/lhRV3XN0EbBnPr3XqzH61Sj8/g98Gs7f/5vffvj3gwBu
veUgaNaepukkD4KgP764WLwdBGWPyzDZBeL2zIDv3iCItMLtZoJGNSWqL7CC9389cwS2k+FxZPHa
1YmgvceM/ng1aPqeMHuk0tQe/1KZEvXNRICDUVkOGDjv6DwQDmBbzgNoJtHyYMjaLxYDUZ0MEb5m
LJP/+8Xwelc04L/+g7+fL/nvDZG9gOuGifj3abKL2f52Cjh79MyB2nGNeXztwiBsOBvE3N1yJth7
tMSroKHQh+LFu7wZCqLcYUYcoWDe0UH4YFvz51uCKZYDvKbyfEB+OBvQjCMe5GK7q4Mgv5dw/vkg
AKU7dFsp4D+Pr/eDAKAO9GYZhvW0B+/eASnQhi2Xg+Df2f1hBp6Ww/udgeWg2YQY2wLK+r/fGD/s
CeK7+4RBgDCxAU+eT4cN9aJK2KMlGhp2cAwAoJ4+2BOD8ncN/ic1s4baQmHTA4zavBoE0MUZQpz1
rpZK8valkoMzKls/e8LTavhwOIheGhswbWdrZoEybr0lgD86Jv4vv5gJyNhtxbEU4D7x2tn58B7a
/U+OCAggh35c6xdDoe4pmm4bMLG7ujM8HeBb7AwYAlmCA1PFSIjXh91RZ9XoGrvjzm6PfOQtF4W9
R7o9rcfPJ4Q4dN6XjcwRhblg7vSiMLaeD5wUXBMM5Hq/qqA5KehvsemN2dFFIXpytpwPHJemTGWE
R9bjiz/1/XzghzRc2k9Hyc5ukk8b1xb7g4YaE6UlE+L57vh+aYg62kYbbouUhd0sn7YvIZkPUH0K
SZfvJwJHBBJX3BZ2dXcUBuzbrQYBuIoYVIRE7/96wCcs4XHFeT48dnQGKE/rc5tloNLBhz0equPN
O4JisGXQMYvd3U6fEOr2hyVltImhH2EBm4eCuwQ6epDnnYUXlO3LaFIRZJVNAf+Fp9e7paEIJMox
TUD4XV0U28MLxh6JQuJS+TTnNwGPosJWoGt2dRC2rxXMPf488AMdJPfx9X4mgL7yM27WOzsI21+l
nD3uCBh/wbg8vlhgbwsmODnFULBAeqpQdw9tw4h7+3OSyhlrS1w+H18bqkaTH+sQEbu6HLY/HXQ8
sFSMDF+Wwwfc1d4jggbejtkiXrtaOgvT3O3qJk2jZuDOiJvL08bwYSisPQx3QeF3dhCegY9tCifI
CFOlPIade/m+3+4M+KmZoCxwUzu6KEQ85pYz4TFeiSHA83jjIHCJIjnWQllPR5p47ehQCCnjlkNh
7+ka1njQkU9D8WGTpNJWDFNnRuzoIDxD5NssCgGy8C1b1vNtgk3w7aKgcQMdsaYJOI4B373jUt9+
e7Soi2RuzuavagbuERitAM8+vdfuDcIza7bFTAB+hZsTDajPXO2HK7a8Z9CpoFNE7+pM2LpwQsdD
BwZ6StqUNm6PKLpoNwJr21nWXjSYbL0xku4C0PIMpXwA4jkjVFh7cNldPR3U7e8R5p5pPbWr/eJ0
UPZoiAV73lmyVoBk288EzkedG+MvBkElqUFIHO1dBR1FEPzWg8BUF+Xzs3ThQ53A6SBMAAgDfHrt
6PaobY812VglIGbRES49vqgJ3lYL4hAR/wMWI167eqUSXsRbzgrqZM2kOxT/5c1DIaP9FaYSIgiL
99q9mkHYwm05CBqqHtmg6+dpe/gIuyEORgAH4LSrJ4X2VMxsUTjBSwn/bUQtv4DdQKExwJbhLZ42
5N2bCR98Cv9YwQAzA99gArj8gpyjcEL1wxAoTxfPnd0Ztq8cHq+NlgFJ8253RACt4OOIQvp5puzq
xrB94WBB1MmyBefwtDuy/N8eFKJnUaaDX9vZjWF7gAHNI1JwHSv9p+1xQ+GgOsD1jrPb3P0H+6U/
3h7YI+kKEEv/F/JPcaUgxwDqflcvl8LpesvT0qBYVk0ISZaGeH3AWpCEc5IifdzVRfEsR9zitBQq
L004d7xoYDfsDCSImtiI7+xMePp2thgE+iQAFWmsfDkIPtTRnJYqPVPOc3/W7pUM+vYVtC6OANEK
84uSgT2BCECKBnSwj68dPS71rUtIqifE/5QG2O08vjaQltQNMgGKu1pCCg+eLbdHoGgsh2iZeZ4P
78sn6mhToHO7q+b4YLz05wclGlfUfJr8KyXw40EJ1mDKuwpFf3C6+PNBoGPGQs4CrvS+bOT0wKJT
Qev1728G/8bm+XeD8tQP4ofH1mQsjTd1MP/qH7z05H78+avG48cWuzf/UrQqP735U2eu+P//523n
8iNy8OqnL0jC4zs9//7zn/jxzd+82cvf9fIfl4RMrcp7f3j8wfD8QU9XCb3N/xvzvx5WrxsERdu0
4Ipe/tvmNuu/N4HfPx0H1/XLg372ZItuq59/6sce7n/v4cnqIStfHvTq4cyZrR8+aep60wdnx976
2dNVvGr5SqqXZ7367Jwx2z8/i5vqw1fK3QPK4BMentbl6q9ptjEuWKzkrd9ito7/Os3KjePPubj1
8+fxX7OsZPK8POvV+FOhbf38RYlN+qaHs5Vv/fD9eJ2mL8959cE/Y7kum+R7Fj/UHx8vNL1bf/SD
JF+XwSp+edTPTy/ksts/Ph02DLpQXm796KN1uWHMBUG6/aOD1NuwESifsVaPV9GGPUzI5rf+2Mer
qlpvGpPPWKDHWfXX/6beOl5vGpnPWKInqwc24JdxeDURP2OJnqzKYNPQfMYSFc/Os027uxANbf21
nqzTh+w+2LR7CRHKJzy/vF8/vDzo57iLVq/tH57x2V+e8+rZn7FMT7KNY/IZq5RH1+tyPWz45J+x
Uk9X+YaJLi6YWw/46bpdfawdSfP9jCV6Vq7YAl4+5auv8zOW6Hm8ul9vqB0FIrf1sJzHTbKpuBNs
5NYPvwwoHavgYcPICKJv6+dfre5LrgRpveEsFczyJ7xB+tdkjfn2pjf4jKV6tRJvUKar8mHjRiYs
cD7lr5gFa2/TH/EZq1b8EQtWwH1Q3W96j89YvuI9DrNV0Ww6rbTPWMPiHY6boPrr7HtQ5Zv+js9Y
zOJdTlb1etPzP2M98/x69ddkVX5fbaoZBET6GfOJ95iScLFhsxbo8Ge9Q9mMLw/7uacKC5jt38Bf
bbwTCtx0+4f/Lij70fFtC5jiKvhtWurWj8/i1abqQegEth8YCpNN6YJCOL39w+sVJpTxqqleHvZq
znzK0hUwy4ZzWMDMW3/63wYvbvulXlPj4zP48jF/jotw9t7+o/8u62brj94AECWbcDnBym792X8f
PLDth/+NhfLWj26+b9h8hcPBvxiTTbDs30qwj2Dti7vjpl97i0WLf3Efr1fl//w/AAAA//8=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1532965</xdr:colOff>
      <xdr:row>63</xdr:row>
      <xdr:rowOff>170330</xdr:rowOff>
    </xdr:to>
    <xdr:sp macro="" textlink="">
      <xdr:nvSpPr>
        <xdr:cNvPr id="2" name="Rectangle 1">
          <a:extLst>
            <a:ext uri="{FF2B5EF4-FFF2-40B4-BE49-F238E27FC236}">
              <a16:creationId xmlns:a16="http://schemas.microsoft.com/office/drawing/2014/main" id="{EF9AF180-1E10-2DC2-15F0-AC7B471DA725}"/>
            </a:ext>
          </a:extLst>
        </xdr:cNvPr>
        <xdr:cNvSpPr/>
      </xdr:nvSpPr>
      <xdr:spPr>
        <a:xfrm>
          <a:off x="0" y="0"/>
          <a:ext cx="1927412" cy="11465859"/>
        </a:xfrm>
        <a:prstGeom prst="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1497106</xdr:colOff>
      <xdr:row>0</xdr:row>
      <xdr:rowOff>0</xdr:rowOff>
    </xdr:from>
    <xdr:to>
      <xdr:col>26</xdr:col>
      <xdr:colOff>91440</xdr:colOff>
      <xdr:row>64</xdr:row>
      <xdr:rowOff>35858</xdr:rowOff>
    </xdr:to>
    <xdr:sp macro="" textlink="">
      <xdr:nvSpPr>
        <xdr:cNvPr id="3" name="Rectangle 2">
          <a:extLst>
            <a:ext uri="{FF2B5EF4-FFF2-40B4-BE49-F238E27FC236}">
              <a16:creationId xmlns:a16="http://schemas.microsoft.com/office/drawing/2014/main" id="{8453852A-57ED-49BA-39A5-ED8F0630083B}"/>
            </a:ext>
          </a:extLst>
        </xdr:cNvPr>
        <xdr:cNvSpPr/>
      </xdr:nvSpPr>
      <xdr:spPr>
        <a:xfrm>
          <a:off x="1891553" y="0"/>
          <a:ext cx="14945958" cy="11510682"/>
        </a:xfrm>
        <a:prstGeom prst="rect">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380552</xdr:colOff>
      <xdr:row>3</xdr:row>
      <xdr:rowOff>29135</xdr:rowOff>
    </xdr:from>
    <xdr:to>
      <xdr:col>1</xdr:col>
      <xdr:colOff>1064364</xdr:colOff>
      <xdr:row>6</xdr:row>
      <xdr:rowOff>96867</xdr:rowOff>
    </xdr:to>
    <xdr:grpSp>
      <xdr:nvGrpSpPr>
        <xdr:cNvPr id="38" name="Group 37">
          <a:extLst>
            <a:ext uri="{FF2B5EF4-FFF2-40B4-BE49-F238E27FC236}">
              <a16:creationId xmlns:a16="http://schemas.microsoft.com/office/drawing/2014/main" id="{D21A71E7-16AE-A986-D0BE-1D023698D029}"/>
            </a:ext>
          </a:extLst>
        </xdr:cNvPr>
        <xdr:cNvGrpSpPr/>
      </xdr:nvGrpSpPr>
      <xdr:grpSpPr>
        <a:xfrm>
          <a:off x="380552" y="584306"/>
          <a:ext cx="1075698" cy="622904"/>
          <a:chOff x="246081" y="1167653"/>
          <a:chExt cx="1078259" cy="605615"/>
        </a:xfrm>
      </xdr:grpSpPr>
      <xdr:sp macro="" textlink="'KPIs 1'!E10">
        <xdr:nvSpPr>
          <xdr:cNvPr id="4" name="TextBox 3">
            <a:extLst>
              <a:ext uri="{FF2B5EF4-FFF2-40B4-BE49-F238E27FC236}">
                <a16:creationId xmlns:a16="http://schemas.microsoft.com/office/drawing/2014/main" id="{831A712F-1972-2BE6-3D94-AA244D7F6FC0}"/>
              </a:ext>
            </a:extLst>
          </xdr:cNvPr>
          <xdr:cNvSpPr txBox="1"/>
        </xdr:nvSpPr>
        <xdr:spPr>
          <a:xfrm>
            <a:off x="246081" y="1338480"/>
            <a:ext cx="1078259" cy="43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D77092-CC94-4232-85AC-067292937D93}" type="TxLink">
              <a:rPr lang="en-US" sz="1600" b="1" i="0" u="none" strike="noStrike">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atin typeface="Aptos Narrow"/>
                <a:ea typeface="+mn-ea"/>
                <a:cs typeface="+mn-cs"/>
              </a:rPr>
              <a:pPr marL="0" indent="0"/>
              <a:t>2,400</a:t>
            </a:fld>
            <a:endParaRPr lang="en-IN" sz="1600" b="1" i="0" u="none" strike="noStrike">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atin typeface="Aptos Narrow"/>
              <a:ea typeface="+mn-ea"/>
              <a:cs typeface="+mn-cs"/>
            </a:endParaRPr>
          </a:p>
        </xdr:txBody>
      </xdr:sp>
      <xdr:sp macro="" textlink="">
        <xdr:nvSpPr>
          <xdr:cNvPr id="10" name="TextBox 9">
            <a:extLst>
              <a:ext uri="{FF2B5EF4-FFF2-40B4-BE49-F238E27FC236}">
                <a16:creationId xmlns:a16="http://schemas.microsoft.com/office/drawing/2014/main" id="{350FDF4C-D30D-F85C-32CB-414A917846BB}"/>
              </a:ext>
            </a:extLst>
          </xdr:cNvPr>
          <xdr:cNvSpPr txBox="1"/>
        </xdr:nvSpPr>
        <xdr:spPr>
          <a:xfrm>
            <a:off x="246081" y="1167653"/>
            <a:ext cx="967740" cy="263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a:t>
            </a:r>
            <a:r>
              <a:rPr lang="en-IN" sz="1050">
                <a:solidFill>
                  <a:schemeClr val="bg1"/>
                </a:solidFill>
              </a:rPr>
              <a:t>Orders</a:t>
            </a:r>
            <a:endParaRPr lang="en-IN" sz="1000">
              <a:solidFill>
                <a:schemeClr val="bg1"/>
              </a:solidFill>
            </a:endParaRPr>
          </a:p>
        </xdr:txBody>
      </xdr:sp>
    </xdr:grpSp>
    <xdr:clientData/>
  </xdr:twoCellAnchor>
  <xdr:twoCellAnchor>
    <xdr:from>
      <xdr:col>0</xdr:col>
      <xdr:colOff>380552</xdr:colOff>
      <xdr:row>6</xdr:row>
      <xdr:rowOff>142524</xdr:rowOff>
    </xdr:from>
    <xdr:to>
      <xdr:col>1</xdr:col>
      <xdr:colOff>984325</xdr:colOff>
      <xdr:row>10</xdr:row>
      <xdr:rowOff>78475</xdr:rowOff>
    </xdr:to>
    <xdr:grpSp>
      <xdr:nvGrpSpPr>
        <xdr:cNvPr id="37" name="Group 36">
          <a:extLst>
            <a:ext uri="{FF2B5EF4-FFF2-40B4-BE49-F238E27FC236}">
              <a16:creationId xmlns:a16="http://schemas.microsoft.com/office/drawing/2014/main" id="{8F58AA4F-E2C8-4C36-7B0B-A76887405FA2}"/>
            </a:ext>
          </a:extLst>
        </xdr:cNvPr>
        <xdr:cNvGrpSpPr/>
      </xdr:nvGrpSpPr>
      <xdr:grpSpPr>
        <a:xfrm>
          <a:off x="380552" y="1252867"/>
          <a:ext cx="995659" cy="676179"/>
          <a:chOff x="246081" y="1871930"/>
          <a:chExt cx="998220" cy="653127"/>
        </a:xfrm>
      </xdr:grpSpPr>
      <xdr:sp macro="" textlink="'KPIs 1'!F10">
        <xdr:nvSpPr>
          <xdr:cNvPr id="6" name="TextBox 5">
            <a:extLst>
              <a:ext uri="{FF2B5EF4-FFF2-40B4-BE49-F238E27FC236}">
                <a16:creationId xmlns:a16="http://schemas.microsoft.com/office/drawing/2014/main" id="{EEB3A4A6-3BB3-3542-24FB-878615BCF206}"/>
              </a:ext>
            </a:extLst>
          </xdr:cNvPr>
          <xdr:cNvSpPr txBox="1"/>
        </xdr:nvSpPr>
        <xdr:spPr>
          <a:xfrm>
            <a:off x="246081" y="2093855"/>
            <a:ext cx="998220" cy="431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73A41A-108B-4CEA-9F72-62099CDFCB4E}" type="TxLink">
              <a:rPr lang="en-US" sz="1600" b="1" i="0" u="none" strike="noStrike">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atin typeface="Aptos Narrow"/>
                <a:ea typeface="+mn-ea"/>
                <a:cs typeface="+mn-cs"/>
              </a:rPr>
              <a:pPr marL="0" indent="0"/>
              <a:t>11,997</a:t>
            </a:fld>
            <a:endParaRPr lang="en-IN" sz="1600" b="1" i="0" u="none" strike="noStrike">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atin typeface="Aptos Narrow"/>
              <a:ea typeface="+mn-ea"/>
              <a:cs typeface="+mn-cs"/>
            </a:endParaRPr>
          </a:p>
        </xdr:txBody>
      </xdr:sp>
      <xdr:sp macro="" textlink="">
        <xdr:nvSpPr>
          <xdr:cNvPr id="11" name="TextBox 10">
            <a:extLst>
              <a:ext uri="{FF2B5EF4-FFF2-40B4-BE49-F238E27FC236}">
                <a16:creationId xmlns:a16="http://schemas.microsoft.com/office/drawing/2014/main" id="{3FA0591C-F01C-FFA7-A302-D7572F03D358}"/>
              </a:ext>
            </a:extLst>
          </xdr:cNvPr>
          <xdr:cNvSpPr txBox="1"/>
        </xdr:nvSpPr>
        <xdr:spPr>
          <a:xfrm>
            <a:off x="246081" y="1871930"/>
            <a:ext cx="967740" cy="259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👕Quantity</a:t>
            </a:r>
          </a:p>
        </xdr:txBody>
      </xdr:sp>
    </xdr:grpSp>
    <xdr:clientData/>
  </xdr:twoCellAnchor>
  <xdr:twoCellAnchor>
    <xdr:from>
      <xdr:col>0</xdr:col>
      <xdr:colOff>380552</xdr:colOff>
      <xdr:row>10</xdr:row>
      <xdr:rowOff>124132</xdr:rowOff>
    </xdr:from>
    <xdr:to>
      <xdr:col>1</xdr:col>
      <xdr:colOff>1258645</xdr:colOff>
      <xdr:row>14</xdr:row>
      <xdr:rowOff>82944</xdr:rowOff>
    </xdr:to>
    <xdr:grpSp>
      <xdr:nvGrpSpPr>
        <xdr:cNvPr id="36" name="Group 35">
          <a:extLst>
            <a:ext uri="{FF2B5EF4-FFF2-40B4-BE49-F238E27FC236}">
              <a16:creationId xmlns:a16="http://schemas.microsoft.com/office/drawing/2014/main" id="{14234953-FC9E-DCA2-09ED-A38048EB445B}"/>
            </a:ext>
          </a:extLst>
        </xdr:cNvPr>
        <xdr:cNvGrpSpPr/>
      </xdr:nvGrpSpPr>
      <xdr:grpSpPr>
        <a:xfrm>
          <a:off x="380552" y="1974703"/>
          <a:ext cx="1269979" cy="699041"/>
          <a:chOff x="246081" y="2689161"/>
          <a:chExt cx="1272540" cy="675989"/>
        </a:xfrm>
      </xdr:grpSpPr>
      <xdr:sp macro="" textlink="'KPIs 1'!G10">
        <xdr:nvSpPr>
          <xdr:cNvPr id="7" name="TextBox 6">
            <a:extLst>
              <a:ext uri="{FF2B5EF4-FFF2-40B4-BE49-F238E27FC236}">
                <a16:creationId xmlns:a16="http://schemas.microsoft.com/office/drawing/2014/main" id="{BD5C47B9-027A-C897-751F-3C355D14C6CA}"/>
              </a:ext>
            </a:extLst>
          </xdr:cNvPr>
          <xdr:cNvSpPr txBox="1"/>
        </xdr:nvSpPr>
        <xdr:spPr>
          <a:xfrm>
            <a:off x="246081" y="2930362"/>
            <a:ext cx="1272540" cy="43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FA1483-5E3F-4749-89D4-3D8BA00E9680}" type="TxLink">
              <a:rPr lang="en-US" sz="1600" b="1" i="0" u="none" strike="noStrike">
                <a:gradFill>
                  <a:gsLst>
                    <a:gs pos="35000">
                      <a:srgbClr val="FFCC00"/>
                    </a:gs>
                    <a:gs pos="100000">
                      <a:schemeClr val="accent4">
                        <a:lumMod val="100000"/>
                      </a:schemeClr>
                    </a:gs>
                  </a:gsLst>
                  <a:path path="circle">
                    <a:fillToRect l="50000" t="-80000" r="50000" b="180000"/>
                  </a:path>
                </a:gradFill>
                <a:latin typeface="Aptos Narrow"/>
                <a:ea typeface="+mn-ea"/>
                <a:cs typeface="+mn-cs"/>
              </a:rPr>
              <a:pPr marL="0" indent="0"/>
              <a:t>$649.0k</a:t>
            </a:fld>
            <a:endParaRPr lang="en-IN" sz="1600" b="1" i="0" u="none" strike="noStrike">
              <a:gradFill>
                <a:gsLst>
                  <a:gs pos="35000">
                    <a:srgbClr val="FFCC00"/>
                  </a:gs>
                  <a:gs pos="100000">
                    <a:schemeClr val="accent4">
                      <a:lumMod val="100000"/>
                    </a:schemeClr>
                  </a:gs>
                </a:gsLst>
                <a:path path="circle">
                  <a:fillToRect l="50000" t="-80000" r="50000" b="180000"/>
                </a:path>
              </a:gradFill>
              <a:latin typeface="Aptos Narrow"/>
              <a:ea typeface="+mn-ea"/>
              <a:cs typeface="+mn-cs"/>
            </a:endParaRPr>
          </a:p>
        </xdr:txBody>
      </xdr:sp>
      <xdr:sp macro="" textlink="">
        <xdr:nvSpPr>
          <xdr:cNvPr id="12" name="TextBox 11">
            <a:extLst>
              <a:ext uri="{FF2B5EF4-FFF2-40B4-BE49-F238E27FC236}">
                <a16:creationId xmlns:a16="http://schemas.microsoft.com/office/drawing/2014/main" id="{156E87FB-65BC-A74D-4BC3-7058FEAEE016}"/>
              </a:ext>
            </a:extLst>
          </xdr:cNvPr>
          <xdr:cNvSpPr txBox="1"/>
        </xdr:nvSpPr>
        <xdr:spPr>
          <a:xfrm>
            <a:off x="246081" y="2689161"/>
            <a:ext cx="967740" cy="263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💰Amount</a:t>
            </a:r>
          </a:p>
        </xdr:txBody>
      </xdr:sp>
    </xdr:grpSp>
    <xdr:clientData/>
  </xdr:twoCellAnchor>
  <xdr:twoCellAnchor>
    <xdr:from>
      <xdr:col>0</xdr:col>
      <xdr:colOff>380552</xdr:colOff>
      <xdr:row>14</xdr:row>
      <xdr:rowOff>128601</xdr:rowOff>
    </xdr:from>
    <xdr:to>
      <xdr:col>1</xdr:col>
      <xdr:colOff>953845</xdr:colOff>
      <xdr:row>18</xdr:row>
      <xdr:rowOff>32282</xdr:rowOff>
    </xdr:to>
    <xdr:grpSp>
      <xdr:nvGrpSpPr>
        <xdr:cNvPr id="35" name="Group 34">
          <a:extLst>
            <a:ext uri="{FF2B5EF4-FFF2-40B4-BE49-F238E27FC236}">
              <a16:creationId xmlns:a16="http://schemas.microsoft.com/office/drawing/2014/main" id="{56328A0F-25EB-5FFE-D077-B26ED82C66D5}"/>
            </a:ext>
          </a:extLst>
        </xdr:cNvPr>
        <xdr:cNvGrpSpPr/>
      </xdr:nvGrpSpPr>
      <xdr:grpSpPr>
        <a:xfrm>
          <a:off x="380552" y="2719401"/>
          <a:ext cx="965179" cy="643910"/>
          <a:chOff x="246081" y="3461569"/>
          <a:chExt cx="967740" cy="620857"/>
        </a:xfrm>
      </xdr:grpSpPr>
      <xdr:sp macro="" textlink="'KPIs 1'!H10">
        <xdr:nvSpPr>
          <xdr:cNvPr id="8" name="TextBox 7">
            <a:extLst>
              <a:ext uri="{FF2B5EF4-FFF2-40B4-BE49-F238E27FC236}">
                <a16:creationId xmlns:a16="http://schemas.microsoft.com/office/drawing/2014/main" id="{03F3DC68-9388-03E7-F14A-50808367740B}"/>
              </a:ext>
            </a:extLst>
          </xdr:cNvPr>
          <xdr:cNvSpPr txBox="1"/>
        </xdr:nvSpPr>
        <xdr:spPr>
          <a:xfrm>
            <a:off x="246081" y="3647638"/>
            <a:ext cx="662940" cy="43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3E0D0F-8402-4346-A63A-1B531D98CF72}" type="TxLink">
              <a:rPr lang="en-US" sz="1600" b="1" i="0" u="none" strike="noStrike">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atin typeface="Aptos Narrow"/>
                <a:ea typeface="+mn-ea"/>
                <a:cs typeface="+mn-cs"/>
              </a:rPr>
              <a:pPr marL="0" indent="0"/>
              <a:t>4.0</a:t>
            </a:fld>
            <a:endParaRPr lang="en-IN" sz="1600" b="1" i="0" u="none" strike="noStrike">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atin typeface="Aptos Narrow"/>
              <a:ea typeface="+mn-ea"/>
              <a:cs typeface="+mn-cs"/>
            </a:endParaRPr>
          </a:p>
        </xdr:txBody>
      </xdr:sp>
      <xdr:sp macro="" textlink="">
        <xdr:nvSpPr>
          <xdr:cNvPr id="13" name="TextBox 12">
            <a:extLst>
              <a:ext uri="{FF2B5EF4-FFF2-40B4-BE49-F238E27FC236}">
                <a16:creationId xmlns:a16="http://schemas.microsoft.com/office/drawing/2014/main" id="{79DA4F3E-5948-1D28-01A3-36E662FEB5E7}"/>
              </a:ext>
            </a:extLst>
          </xdr:cNvPr>
          <xdr:cNvSpPr txBox="1"/>
        </xdr:nvSpPr>
        <xdr:spPr>
          <a:xfrm>
            <a:off x="246081" y="3461569"/>
            <a:ext cx="967740" cy="263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⭐Rating</a:t>
            </a:r>
          </a:p>
        </xdr:txBody>
      </xdr:sp>
    </xdr:grpSp>
    <xdr:clientData/>
  </xdr:twoCellAnchor>
  <xdr:twoCellAnchor>
    <xdr:from>
      <xdr:col>0</xdr:col>
      <xdr:colOff>380552</xdr:colOff>
      <xdr:row>18</xdr:row>
      <xdr:rowOff>77941</xdr:rowOff>
    </xdr:from>
    <xdr:to>
      <xdr:col>1</xdr:col>
      <xdr:colOff>1258645</xdr:colOff>
      <xdr:row>21</xdr:row>
      <xdr:rowOff>151054</xdr:rowOff>
    </xdr:to>
    <xdr:grpSp>
      <xdr:nvGrpSpPr>
        <xdr:cNvPr id="34" name="Group 33">
          <a:extLst>
            <a:ext uri="{FF2B5EF4-FFF2-40B4-BE49-F238E27FC236}">
              <a16:creationId xmlns:a16="http://schemas.microsoft.com/office/drawing/2014/main" id="{AA8E18C3-A93A-BBBC-BA7E-CCC322519B2A}"/>
            </a:ext>
          </a:extLst>
        </xdr:cNvPr>
        <xdr:cNvGrpSpPr/>
      </xdr:nvGrpSpPr>
      <xdr:grpSpPr>
        <a:xfrm>
          <a:off x="380552" y="3408970"/>
          <a:ext cx="1269979" cy="628284"/>
          <a:chOff x="219187" y="3905871"/>
          <a:chExt cx="1272540" cy="610995"/>
        </a:xfrm>
      </xdr:grpSpPr>
      <xdr:sp macro="" textlink="'KPIs 1'!I10">
        <xdr:nvSpPr>
          <xdr:cNvPr id="9" name="TextBox 8">
            <a:extLst>
              <a:ext uri="{FF2B5EF4-FFF2-40B4-BE49-F238E27FC236}">
                <a16:creationId xmlns:a16="http://schemas.microsoft.com/office/drawing/2014/main" id="{21ABD9C5-A35E-30AB-0EF8-6006F0447D27}"/>
              </a:ext>
            </a:extLst>
          </xdr:cNvPr>
          <xdr:cNvSpPr txBox="1"/>
        </xdr:nvSpPr>
        <xdr:spPr>
          <a:xfrm>
            <a:off x="246081" y="4085664"/>
            <a:ext cx="632460" cy="431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05219EC-0D70-45A5-BD35-7733A95E5441}" type="TxLink">
              <a:rPr lang="en-US" sz="1600" b="1" i="0" u="none" strike="noStrike">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atin typeface="Aptos Narrow"/>
                <a:ea typeface="+mn-ea"/>
                <a:cs typeface="+mn-cs"/>
              </a:rPr>
              <a:pPr marL="0" indent="0"/>
              <a:t>2.3</a:t>
            </a:fld>
            <a:endParaRPr lang="en-IN" sz="1600" b="1" i="0" u="none" strike="noStrike">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atin typeface="Aptos Narrow"/>
              <a:ea typeface="+mn-ea"/>
              <a:cs typeface="+mn-cs"/>
            </a:endParaRPr>
          </a:p>
        </xdr:txBody>
      </xdr:sp>
      <xdr:sp macro="" textlink="">
        <xdr:nvSpPr>
          <xdr:cNvPr id="14" name="TextBox 13">
            <a:extLst>
              <a:ext uri="{FF2B5EF4-FFF2-40B4-BE49-F238E27FC236}">
                <a16:creationId xmlns:a16="http://schemas.microsoft.com/office/drawing/2014/main" id="{F365EEE0-6196-4295-477F-A9B81588A0A7}"/>
              </a:ext>
            </a:extLst>
          </xdr:cNvPr>
          <xdr:cNvSpPr txBox="1"/>
        </xdr:nvSpPr>
        <xdr:spPr>
          <a:xfrm>
            <a:off x="219187" y="3905871"/>
            <a:ext cx="1272540" cy="259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🗓️Days To Deliver</a:t>
            </a:r>
          </a:p>
        </xdr:txBody>
      </xdr:sp>
    </xdr:grpSp>
    <xdr:clientData/>
  </xdr:twoCellAnchor>
  <xdr:twoCellAnchor>
    <xdr:from>
      <xdr:col>1</xdr:col>
      <xdr:colOff>1760220</xdr:colOff>
      <xdr:row>1</xdr:row>
      <xdr:rowOff>0</xdr:rowOff>
    </xdr:from>
    <xdr:to>
      <xdr:col>8</xdr:col>
      <xdr:colOff>373380</xdr:colOff>
      <xdr:row>16</xdr:row>
      <xdr:rowOff>0</xdr:rowOff>
    </xdr:to>
    <xdr:graphicFrame macro="">
      <xdr:nvGraphicFramePr>
        <xdr:cNvPr id="17" name="Chart 16">
          <a:extLst>
            <a:ext uri="{FF2B5EF4-FFF2-40B4-BE49-F238E27FC236}">
              <a16:creationId xmlns:a16="http://schemas.microsoft.com/office/drawing/2014/main" id="{31048F4F-A7D6-46BB-91BF-A217DBD46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175260</xdr:rowOff>
    </xdr:from>
    <xdr:to>
      <xdr:col>14</xdr:col>
      <xdr:colOff>495300</xdr:colOff>
      <xdr:row>15</xdr:row>
      <xdr:rowOff>129540</xdr:rowOff>
    </xdr:to>
    <xdr:grpSp>
      <xdr:nvGrpSpPr>
        <xdr:cNvPr id="25" name="Group 24">
          <a:extLst>
            <a:ext uri="{FF2B5EF4-FFF2-40B4-BE49-F238E27FC236}">
              <a16:creationId xmlns:a16="http://schemas.microsoft.com/office/drawing/2014/main" id="{42253F22-2B37-B1C6-2E14-04CBEBD0CA44}"/>
            </a:ext>
          </a:extLst>
        </xdr:cNvPr>
        <xdr:cNvGrpSpPr/>
      </xdr:nvGrpSpPr>
      <xdr:grpSpPr>
        <a:xfrm>
          <a:off x="6394269" y="175260"/>
          <a:ext cx="3528060" cy="2730137"/>
          <a:chOff x="7787640" y="236220"/>
          <a:chExt cx="5394960" cy="2598420"/>
        </a:xfrm>
      </xdr:grpSpPr>
      <xdr:sp macro="" textlink="">
        <xdr:nvSpPr>
          <xdr:cNvPr id="24" name="Rectangle 23">
            <a:extLst>
              <a:ext uri="{FF2B5EF4-FFF2-40B4-BE49-F238E27FC236}">
                <a16:creationId xmlns:a16="http://schemas.microsoft.com/office/drawing/2014/main" id="{D75A0875-22F1-51B0-7970-A27FDD38A647}"/>
              </a:ext>
            </a:extLst>
          </xdr:cNvPr>
          <xdr:cNvSpPr/>
        </xdr:nvSpPr>
        <xdr:spPr>
          <a:xfrm>
            <a:off x="7787640" y="236220"/>
            <a:ext cx="5394960" cy="25984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cap="none" spc="0">
                <a:ln>
                  <a:noFill/>
                </a:ln>
                <a:solidFill>
                  <a:schemeClr val="tx1"/>
                </a:solidFill>
                <a:effectLst/>
              </a:rPr>
              <a:t>How they like</a:t>
            </a:r>
            <a:r>
              <a:rPr lang="en-IN" sz="1400" b="1" cap="none" spc="0" baseline="0">
                <a:ln>
                  <a:noFill/>
                </a:ln>
                <a:solidFill>
                  <a:schemeClr val="tx1"/>
                </a:solidFill>
                <a:effectLst/>
              </a:rPr>
              <a:t> to </a:t>
            </a:r>
            <a:r>
              <a:rPr lang="en-IN" sz="1600" b="1" cap="none" spc="0" baseline="0">
                <a:ln>
                  <a:noFill/>
                </a:ln>
                <a:solidFill>
                  <a:schemeClr val="tx1"/>
                </a:solidFill>
                <a:effectLst/>
              </a:rPr>
              <a:t>buy</a:t>
            </a:r>
            <a:r>
              <a:rPr lang="en-IN" sz="1400" b="1" cap="none" spc="0" baseline="0">
                <a:ln>
                  <a:noFill/>
                </a:ln>
                <a:solidFill>
                  <a:schemeClr val="tx1"/>
                </a:solidFill>
                <a:effectLst/>
              </a:rPr>
              <a:t> ?</a:t>
            </a:r>
            <a:endParaRPr lang="en-IN" sz="1100" b="1" cap="none" spc="0">
              <a:ln>
                <a:noFill/>
              </a:ln>
              <a:solidFill>
                <a:schemeClr val="tx1"/>
              </a:solidFill>
              <a:effectLst/>
            </a:endParaRPr>
          </a:p>
        </xdr:txBody>
      </xdr:sp>
      <xdr:pic>
        <xdr:nvPicPr>
          <xdr:cNvPr id="23" name="Picture 22">
            <a:extLst>
              <a:ext uri="{FF2B5EF4-FFF2-40B4-BE49-F238E27FC236}">
                <a16:creationId xmlns:a16="http://schemas.microsoft.com/office/drawing/2014/main" id="{434A63BD-51B1-CDE6-5A79-D4CDD616EB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93379" y="547704"/>
            <a:ext cx="4985687" cy="2042160"/>
          </a:xfrm>
          <a:prstGeom prst="rect">
            <a:avLst/>
          </a:prstGeom>
          <a:noFill/>
          <a:ln>
            <a:solidFill>
              <a:schemeClr val="bg1"/>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15</xdr:col>
      <xdr:colOff>22859</xdr:colOff>
      <xdr:row>0</xdr:row>
      <xdr:rowOff>175260</xdr:rowOff>
    </xdr:from>
    <xdr:to>
      <xdr:col>24</xdr:col>
      <xdr:colOff>582704</xdr:colOff>
      <xdr:row>15</xdr:row>
      <xdr:rowOff>71717</xdr:rowOff>
    </xdr:to>
    <xdr:graphicFrame macro="">
      <xdr:nvGraphicFramePr>
        <xdr:cNvPr id="26" name="Chart 25">
          <a:extLst>
            <a:ext uri="{FF2B5EF4-FFF2-40B4-BE49-F238E27FC236}">
              <a16:creationId xmlns:a16="http://schemas.microsoft.com/office/drawing/2014/main" id="{4839AF31-5A39-42E5-A7B6-228CB6E6E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1790700</xdr:colOff>
      <xdr:row>16</xdr:row>
      <xdr:rowOff>91440</xdr:rowOff>
    </xdr:from>
    <xdr:to>
      <xdr:col>8</xdr:col>
      <xdr:colOff>568036</xdr:colOff>
      <xdr:row>31</xdr:row>
      <xdr:rowOff>0</xdr:rowOff>
    </xdr:to>
    <xdr:graphicFrame macro="">
      <xdr:nvGraphicFramePr>
        <xdr:cNvPr id="27" name="Chart 26">
          <a:extLst>
            <a:ext uri="{FF2B5EF4-FFF2-40B4-BE49-F238E27FC236}">
              <a16:creationId xmlns:a16="http://schemas.microsoft.com/office/drawing/2014/main" id="{801089EF-EA46-4D15-A802-8F59EA13E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392722</xdr:colOff>
      <xdr:row>21</xdr:row>
      <xdr:rowOff>146538</xdr:rowOff>
    </xdr:from>
    <xdr:to>
      <xdr:col>8</xdr:col>
      <xdr:colOff>252045</xdr:colOff>
      <xdr:row>29</xdr:row>
      <xdr:rowOff>11722</xdr:rowOff>
    </xdr:to>
    <xdr:graphicFrame macro="">
      <xdr:nvGraphicFramePr>
        <xdr:cNvPr id="28" name="Chart 27">
          <a:extLst>
            <a:ext uri="{FF2B5EF4-FFF2-40B4-BE49-F238E27FC236}">
              <a16:creationId xmlns:a16="http://schemas.microsoft.com/office/drawing/2014/main" id="{89E0F7E5-E2BA-4D01-8FE6-924FF22C8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287482</xdr:colOff>
      <xdr:row>16</xdr:row>
      <xdr:rowOff>132311</xdr:rowOff>
    </xdr:from>
    <xdr:to>
      <xdr:col>14</xdr:col>
      <xdr:colOff>554182</xdr:colOff>
      <xdr:row>34</xdr:row>
      <xdr:rowOff>152400</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4FCDBDF0-86EC-4996-B1A7-B42B56C5C4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73042" y="3058391"/>
              <a:ext cx="3314700" cy="33119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59167</xdr:colOff>
      <xdr:row>19</xdr:row>
      <xdr:rowOff>142090</xdr:rowOff>
    </xdr:from>
    <xdr:to>
      <xdr:col>14</xdr:col>
      <xdr:colOff>562087</xdr:colOff>
      <xdr:row>25</xdr:row>
      <xdr:rowOff>130436</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25409888-B3B0-4B00-AA62-6E79113B38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273527" y="3616810"/>
              <a:ext cx="1722120" cy="10856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191396</xdr:colOff>
      <xdr:row>15</xdr:row>
      <xdr:rowOff>152401</xdr:rowOff>
    </xdr:from>
    <xdr:to>
      <xdr:col>24</xdr:col>
      <xdr:colOff>358588</xdr:colOff>
      <xdr:row>27</xdr:row>
      <xdr:rowOff>116542</xdr:rowOff>
    </xdr:to>
    <xdr:graphicFrame macro="">
      <xdr:nvGraphicFramePr>
        <xdr:cNvPr id="32" name="Chart 31">
          <a:extLst>
            <a:ext uri="{FF2B5EF4-FFF2-40B4-BE49-F238E27FC236}">
              <a16:creationId xmlns:a16="http://schemas.microsoft.com/office/drawing/2014/main" id="{6CD5513F-F2CF-43CD-BC02-CD9B5963A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229048</xdr:colOff>
      <xdr:row>28</xdr:row>
      <xdr:rowOff>27790</xdr:rowOff>
    </xdr:from>
    <xdr:to>
      <xdr:col>24</xdr:col>
      <xdr:colOff>439269</xdr:colOff>
      <xdr:row>38</xdr:row>
      <xdr:rowOff>130629</xdr:rowOff>
    </xdr:to>
    <xdr:graphicFrame macro="">
      <xdr:nvGraphicFramePr>
        <xdr:cNvPr id="33" name="Chart 32">
          <a:extLst>
            <a:ext uri="{FF2B5EF4-FFF2-40B4-BE49-F238E27FC236}">
              <a16:creationId xmlns:a16="http://schemas.microsoft.com/office/drawing/2014/main" id="{5F5EE4FE-142D-4153-BE02-FEB2A8A01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194538</xdr:colOff>
      <xdr:row>21</xdr:row>
      <xdr:rowOff>154194</xdr:rowOff>
    </xdr:from>
    <xdr:to>
      <xdr:col>1</xdr:col>
      <xdr:colOff>1168672</xdr:colOff>
      <xdr:row>31</xdr:row>
      <xdr:rowOff>71717</xdr:rowOff>
    </xdr:to>
    <mc:AlternateContent xmlns:mc="http://schemas.openxmlformats.org/markup-compatibility/2006" xmlns:a14="http://schemas.microsoft.com/office/drawing/2010/main">
      <mc:Choice Requires="a14">
        <xdr:graphicFrame macro="">
          <xdr:nvGraphicFramePr>
            <xdr:cNvPr id="39" name="Order Mode">
              <a:extLst>
                <a:ext uri="{FF2B5EF4-FFF2-40B4-BE49-F238E27FC236}">
                  <a16:creationId xmlns:a16="http://schemas.microsoft.com/office/drawing/2014/main" id="{522A92A7-8F05-5319-7B7F-3F32833E6E4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94538" y="4040394"/>
              <a:ext cx="1366020" cy="1768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181535</xdr:colOff>
      <xdr:row>31</xdr:row>
      <xdr:rowOff>159123</xdr:rowOff>
    </xdr:from>
    <xdr:to>
      <xdr:col>1</xdr:col>
      <xdr:colOff>1183341</xdr:colOff>
      <xdr:row>39</xdr:row>
      <xdr:rowOff>176848</xdr:rowOff>
    </xdr:to>
    <mc:AlternateContent xmlns:mc="http://schemas.openxmlformats.org/markup-compatibility/2006" xmlns:a14="http://schemas.microsoft.com/office/drawing/2010/main">
      <mc:Choice Requires="a14">
        <xdr:graphicFrame macro="">
          <xdr:nvGraphicFramePr>
            <xdr:cNvPr id="40" name="Gender Value">
              <a:extLst>
                <a:ext uri="{FF2B5EF4-FFF2-40B4-BE49-F238E27FC236}">
                  <a16:creationId xmlns:a16="http://schemas.microsoft.com/office/drawing/2014/main" id="{485E63F2-AA9A-8ACE-7D0B-998DCF497CFF}"/>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81535" y="5895894"/>
              <a:ext cx="1393692" cy="1498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107577</xdr:rowOff>
    </xdr:from>
    <xdr:to>
      <xdr:col>1</xdr:col>
      <xdr:colOff>1515034</xdr:colOff>
      <xdr:row>3</xdr:row>
      <xdr:rowOff>6148</xdr:rowOff>
    </xdr:to>
    <xdr:pic>
      <xdr:nvPicPr>
        <xdr:cNvPr id="41" name="Picture 40">
          <a:extLst>
            <a:ext uri="{FF2B5EF4-FFF2-40B4-BE49-F238E27FC236}">
              <a16:creationId xmlns:a16="http://schemas.microsoft.com/office/drawing/2014/main" id="{EACE6E5A-751F-47E5-A637-B02FE2425D0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0" y="107577"/>
          <a:ext cx="1909481" cy="436453"/>
        </a:xfrm>
        <a:prstGeom prst="rect">
          <a:avLst/>
        </a:prstGeom>
      </xdr:spPr>
    </xdr:pic>
    <xdr:clientData/>
  </xdr:twoCellAnchor>
  <xdr:twoCellAnchor>
    <xdr:from>
      <xdr:col>0</xdr:col>
      <xdr:colOff>119743</xdr:colOff>
      <xdr:row>6</xdr:row>
      <xdr:rowOff>32657</xdr:rowOff>
    </xdr:from>
    <xdr:to>
      <xdr:col>1</xdr:col>
      <xdr:colOff>1001486</xdr:colOff>
      <xdr:row>6</xdr:row>
      <xdr:rowOff>32657</xdr:rowOff>
    </xdr:to>
    <xdr:cxnSp macro="">
      <xdr:nvCxnSpPr>
        <xdr:cNvPr id="43" name="Straight Connector 42">
          <a:extLst>
            <a:ext uri="{FF2B5EF4-FFF2-40B4-BE49-F238E27FC236}">
              <a16:creationId xmlns:a16="http://schemas.microsoft.com/office/drawing/2014/main" id="{15F64F4B-C234-C2E7-E985-D58C594C5E38}"/>
            </a:ext>
          </a:extLst>
        </xdr:cNvPr>
        <xdr:cNvCxnSpPr/>
      </xdr:nvCxnSpPr>
      <xdr:spPr>
        <a:xfrm>
          <a:off x="119743" y="1143000"/>
          <a:ext cx="1273629" cy="0"/>
        </a:xfrm>
        <a:prstGeom prst="line">
          <a:avLst/>
        </a:prstGeom>
        <a:ln>
          <a:solidFill>
            <a:schemeClr val="accent1">
              <a:alpha val="36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119743</xdr:colOff>
      <xdr:row>9</xdr:row>
      <xdr:rowOff>176893</xdr:rowOff>
    </xdr:from>
    <xdr:to>
      <xdr:col>1</xdr:col>
      <xdr:colOff>1001486</xdr:colOff>
      <xdr:row>9</xdr:row>
      <xdr:rowOff>176893</xdr:rowOff>
    </xdr:to>
    <xdr:cxnSp macro="">
      <xdr:nvCxnSpPr>
        <xdr:cNvPr id="44" name="Straight Connector 43">
          <a:extLst>
            <a:ext uri="{FF2B5EF4-FFF2-40B4-BE49-F238E27FC236}">
              <a16:creationId xmlns:a16="http://schemas.microsoft.com/office/drawing/2014/main" id="{9E01E523-8DD3-AD02-63ED-A3F841720866}"/>
            </a:ext>
          </a:extLst>
        </xdr:cNvPr>
        <xdr:cNvCxnSpPr/>
      </xdr:nvCxnSpPr>
      <xdr:spPr>
        <a:xfrm>
          <a:off x="119743" y="1842407"/>
          <a:ext cx="1273629" cy="0"/>
        </a:xfrm>
        <a:prstGeom prst="line">
          <a:avLst/>
        </a:prstGeom>
        <a:ln>
          <a:solidFill>
            <a:schemeClr val="accent1">
              <a:alpha val="36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119743</xdr:colOff>
      <xdr:row>13</xdr:row>
      <xdr:rowOff>136071</xdr:rowOff>
    </xdr:from>
    <xdr:to>
      <xdr:col>1</xdr:col>
      <xdr:colOff>1001486</xdr:colOff>
      <xdr:row>13</xdr:row>
      <xdr:rowOff>136071</xdr:rowOff>
    </xdr:to>
    <xdr:cxnSp macro="">
      <xdr:nvCxnSpPr>
        <xdr:cNvPr id="45" name="Straight Connector 44">
          <a:extLst>
            <a:ext uri="{FF2B5EF4-FFF2-40B4-BE49-F238E27FC236}">
              <a16:creationId xmlns:a16="http://schemas.microsoft.com/office/drawing/2014/main" id="{EBB19F3E-682C-0FFF-9BB1-6D13E1317B51}"/>
            </a:ext>
          </a:extLst>
        </xdr:cNvPr>
        <xdr:cNvCxnSpPr/>
      </xdr:nvCxnSpPr>
      <xdr:spPr>
        <a:xfrm>
          <a:off x="119743" y="2541814"/>
          <a:ext cx="1273629" cy="0"/>
        </a:xfrm>
        <a:prstGeom prst="line">
          <a:avLst/>
        </a:prstGeom>
        <a:ln>
          <a:solidFill>
            <a:schemeClr val="accent1">
              <a:alpha val="36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119743</xdr:colOff>
      <xdr:row>17</xdr:row>
      <xdr:rowOff>95250</xdr:rowOff>
    </xdr:from>
    <xdr:to>
      <xdr:col>1</xdr:col>
      <xdr:colOff>1001486</xdr:colOff>
      <xdr:row>17</xdr:row>
      <xdr:rowOff>95250</xdr:rowOff>
    </xdr:to>
    <xdr:cxnSp macro="">
      <xdr:nvCxnSpPr>
        <xdr:cNvPr id="46" name="Straight Connector 45">
          <a:extLst>
            <a:ext uri="{FF2B5EF4-FFF2-40B4-BE49-F238E27FC236}">
              <a16:creationId xmlns:a16="http://schemas.microsoft.com/office/drawing/2014/main" id="{1C458612-7E6A-D858-6262-4AEB7D91D9D2}"/>
            </a:ext>
          </a:extLst>
        </xdr:cNvPr>
        <xdr:cNvCxnSpPr/>
      </xdr:nvCxnSpPr>
      <xdr:spPr>
        <a:xfrm>
          <a:off x="119743" y="3241221"/>
          <a:ext cx="1273629" cy="0"/>
        </a:xfrm>
        <a:prstGeom prst="line">
          <a:avLst/>
        </a:prstGeom>
        <a:ln>
          <a:solidFill>
            <a:schemeClr val="accent1">
              <a:alpha val="36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119743</xdr:colOff>
      <xdr:row>21</xdr:row>
      <xdr:rowOff>54428</xdr:rowOff>
    </xdr:from>
    <xdr:to>
      <xdr:col>1</xdr:col>
      <xdr:colOff>1001486</xdr:colOff>
      <xdr:row>21</xdr:row>
      <xdr:rowOff>54428</xdr:rowOff>
    </xdr:to>
    <xdr:cxnSp macro="">
      <xdr:nvCxnSpPr>
        <xdr:cNvPr id="47" name="Straight Connector 46">
          <a:extLst>
            <a:ext uri="{FF2B5EF4-FFF2-40B4-BE49-F238E27FC236}">
              <a16:creationId xmlns:a16="http://schemas.microsoft.com/office/drawing/2014/main" id="{3DE2CE28-00A1-02A0-83B5-58426638352C}"/>
            </a:ext>
          </a:extLst>
        </xdr:cNvPr>
        <xdr:cNvCxnSpPr/>
      </xdr:nvCxnSpPr>
      <xdr:spPr>
        <a:xfrm>
          <a:off x="119743" y="3940628"/>
          <a:ext cx="1273629" cy="0"/>
        </a:xfrm>
        <a:prstGeom prst="line">
          <a:avLst/>
        </a:prstGeom>
        <a:ln>
          <a:solidFill>
            <a:schemeClr val="accent1">
              <a:alpha val="36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6255.379832638886" createdVersion="8" refreshedVersion="8" minRefreshableVersion="3" recordCount="2400" xr:uid="{F37C4D9C-1F44-447C-886E-46154CC85461}">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20853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4F11FA-B234-4918-BA64-F489E1B886D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B15:D28"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3">
    <i>
      <x/>
    </i>
    <i>
      <x v="1"/>
    </i>
    <i>
      <x v="2"/>
    </i>
    <i>
      <x v="3"/>
    </i>
    <i>
      <x v="4"/>
    </i>
    <i>
      <x v="5"/>
    </i>
    <i>
      <x v="6"/>
    </i>
    <i>
      <x v="7"/>
    </i>
    <i>
      <x v="8"/>
    </i>
    <i>
      <x v="9"/>
    </i>
    <i>
      <x v="10"/>
    </i>
    <i>
      <x v="11"/>
    </i>
    <i>
      <x v="12"/>
    </i>
  </rowItems>
  <colFields count="1">
    <field x="-2"/>
  </colFields>
  <colItems count="2">
    <i>
      <x/>
    </i>
    <i i="1">
      <x v="1"/>
    </i>
  </colItems>
  <dataFields count="2">
    <dataField name="Sum of Quantity" fld="2" baseField="0" baseItem="0"/>
    <dataField name="Sum of Amount" fld="4" baseField="0" baseItem="0" numFmtId="164"/>
  </dataFields>
  <chartFormats count="2">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A2BF52-065E-4BC8-A46A-34107881FC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E94542-1409-4C73-B990-1664F71A8D88}"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I15:N19"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7"/>
    <field x="16"/>
    <field x="5"/>
  </rowFields>
  <rowItems count="3">
    <i>
      <x v="1"/>
    </i>
    <i>
      <x v="2"/>
    </i>
    <i>
      <x v="3"/>
    </i>
  </rowItems>
  <colFields count="1">
    <field x="9"/>
  </colFields>
  <colItems count="5">
    <i>
      <x/>
    </i>
    <i>
      <x v="1"/>
    </i>
    <i>
      <x v="2"/>
    </i>
    <i>
      <x v="3"/>
    </i>
    <i>
      <x v="4"/>
    </i>
  </colItems>
  <dataFields count="1">
    <dataField name="Count of TX ID" fld="0" subtotal="count" baseField="0" baseItem="0"/>
  </dataFields>
  <chartFormats count="7">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10" series="1">
      <pivotArea type="data" outline="0" fieldPosition="0">
        <references count="2">
          <reference field="4294967294" count="1" selected="0">
            <x v="0"/>
          </reference>
          <reference field="9" count="1" selected="0">
            <x v="0"/>
          </reference>
        </references>
      </pivotArea>
    </chartFormat>
    <chartFormat chart="41" format="11" series="1">
      <pivotArea type="data" outline="0" fieldPosition="0">
        <references count="2">
          <reference field="4294967294" count="1" selected="0">
            <x v="0"/>
          </reference>
          <reference field="9" count="1" selected="0">
            <x v="1"/>
          </reference>
        </references>
      </pivotArea>
    </chartFormat>
    <chartFormat chart="41" format="12" series="1">
      <pivotArea type="data" outline="0" fieldPosition="0">
        <references count="2">
          <reference field="4294967294" count="1" selected="0">
            <x v="0"/>
          </reference>
          <reference field="9" count="1" selected="0">
            <x v="2"/>
          </reference>
        </references>
      </pivotArea>
    </chartFormat>
    <chartFormat chart="41" format="13" series="1">
      <pivotArea type="data" outline="0" fieldPosition="0">
        <references count="2">
          <reference field="4294967294" count="1" selected="0">
            <x v="0"/>
          </reference>
          <reference field="9" count="1" selected="0">
            <x v="3"/>
          </reference>
        </references>
      </pivotArea>
    </chartFormat>
    <chartFormat chart="41"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141FFA-FA31-412B-9F13-3263AD0EBEE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F15:G30"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5">
    <i>
      <x/>
    </i>
    <i>
      <x v="1"/>
    </i>
    <i>
      <x v="2"/>
    </i>
    <i>
      <x v="3"/>
    </i>
    <i>
      <x v="4"/>
    </i>
    <i>
      <x v="5"/>
    </i>
    <i>
      <x v="6"/>
    </i>
    <i>
      <x v="7"/>
    </i>
    <i>
      <x v="8"/>
    </i>
    <i>
      <x v="9"/>
    </i>
    <i>
      <x v="10"/>
    </i>
    <i>
      <x v="11"/>
    </i>
    <i>
      <x v="12"/>
    </i>
    <i>
      <x v="13"/>
    </i>
    <i>
      <x v="14"/>
    </i>
  </rowItems>
  <colItems count="1">
    <i/>
  </colItems>
  <dataFields count="1">
    <dataField name="Count of TX ID" fld="0" subtotal="count" baseField="0" baseItem="0"/>
  </dataField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8E8BF5-3B47-48D8-A46B-34AC17BDFA1C}"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C14:G35" firstHeaderRow="1" firstDataRow="2" firstDataCol="1"/>
  <pivotFields count="18">
    <pivotField showAll="0"/>
    <pivotField axis="axisRow"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0">
    <i>
      <x/>
    </i>
    <i>
      <x v="1"/>
    </i>
    <i>
      <x v="2"/>
    </i>
    <i>
      <x v="3"/>
    </i>
    <i>
      <x v="4"/>
    </i>
    <i>
      <x v="5"/>
    </i>
    <i>
      <x v="6"/>
    </i>
    <i>
      <x v="7"/>
    </i>
    <i>
      <x v="8"/>
    </i>
    <i>
      <x v="9"/>
    </i>
    <i>
      <x v="10"/>
    </i>
    <i>
      <x v="11"/>
    </i>
    <i>
      <x v="12"/>
    </i>
    <i>
      <x v="13"/>
    </i>
    <i>
      <x v="14"/>
    </i>
    <i>
      <x v="15"/>
    </i>
    <i>
      <x v="16"/>
    </i>
    <i>
      <x v="17"/>
    </i>
    <i>
      <x v="18"/>
    </i>
    <i>
      <x v="19"/>
    </i>
  </rowItems>
  <colFields count="1">
    <field x="14"/>
  </colFields>
  <colItems count="4">
    <i>
      <x/>
    </i>
    <i>
      <x v="1"/>
    </i>
    <i>
      <x v="2"/>
    </i>
    <i>
      <x v="3"/>
    </i>
  </colItems>
  <dataFields count="1">
    <dataField name="Sum of Quantity" fld="2" baseField="0" baseItem="0"/>
  </dataFields>
  <formats count="6">
    <format dxfId="5">
      <pivotArea type="all" dataOnly="0" outline="0" fieldPosition="0"/>
    </format>
    <format dxfId="4">
      <pivotArea outline="0" collapsedLevelsAreSubtotals="1" fieldPosition="0"/>
    </format>
    <format dxfId="3">
      <pivotArea field="13" type="button" dataOnly="0" labelOnly="1" outline="0"/>
    </format>
    <format dxfId="2">
      <pivotArea type="all" dataOnly="0" outline="0" fieldPosition="0"/>
    </format>
    <format dxfId="1">
      <pivotArea outline="0" collapsedLevelsAreSubtotals="1" fieldPosition="0"/>
    </format>
    <format dxfId="0">
      <pivotArea field="13" type="button" dataOnly="0" labelOnly="1" outline="0"/>
    </format>
  </formats>
  <chartFormats count="9">
    <chartFormat chart="41" format="4" series="1">
      <pivotArea type="data" outline="0" fieldPosition="0">
        <references count="2">
          <reference field="4294967294" count="1" selected="0">
            <x v="0"/>
          </reference>
          <reference field="14" count="1" selected="0">
            <x v="0"/>
          </reference>
        </references>
      </pivotArea>
    </chartFormat>
    <chartFormat chart="41" format="5" series="1">
      <pivotArea type="data" outline="0" fieldPosition="0">
        <references count="2">
          <reference field="4294967294" count="1" selected="0">
            <x v="0"/>
          </reference>
          <reference field="14" count="1" selected="0">
            <x v="2"/>
          </reference>
        </references>
      </pivotArea>
    </chartFormat>
    <chartFormat chart="41" format="6" series="1">
      <pivotArea type="data" outline="0" fieldPosition="0">
        <references count="2">
          <reference field="4294967294" count="1" selected="0">
            <x v="0"/>
          </reference>
          <reference field="14" count="1" selected="0">
            <x v="3"/>
          </reference>
        </references>
      </pivotArea>
    </chartFormat>
    <chartFormat chart="41" format="7" series="1">
      <pivotArea type="data" outline="0" fieldPosition="0">
        <references count="2">
          <reference field="4294967294" count="1" selected="0">
            <x v="0"/>
          </reference>
          <reference field="14" count="1" selected="0">
            <x v="1"/>
          </reference>
        </references>
      </pivotArea>
    </chartFormat>
    <chartFormat chart="42" format="8" series="1">
      <pivotArea type="data" outline="0" fieldPosition="0">
        <references count="2">
          <reference field="4294967294" count="1" selected="0">
            <x v="0"/>
          </reference>
          <reference field="14" count="1" selected="0">
            <x v="0"/>
          </reference>
        </references>
      </pivotArea>
    </chartFormat>
    <chartFormat chart="42" format="9" series="1">
      <pivotArea type="data" outline="0" fieldPosition="0">
        <references count="2">
          <reference field="4294967294" count="1" selected="0">
            <x v="0"/>
          </reference>
          <reference field="14" count="1" selected="0">
            <x v="2"/>
          </reference>
        </references>
      </pivotArea>
    </chartFormat>
    <chartFormat chart="42" format="10" series="1">
      <pivotArea type="data" outline="0" fieldPosition="0">
        <references count="2">
          <reference field="4294967294" count="1" selected="0">
            <x v="0"/>
          </reference>
          <reference field="14" count="1" selected="0">
            <x v="3"/>
          </reference>
        </references>
      </pivotArea>
    </chartFormat>
    <chartFormat chart="42" format="11" series="1">
      <pivotArea type="data" outline="0" fieldPosition="0">
        <references count="2">
          <reference field="4294967294" count="1" selected="0">
            <x v="0"/>
          </reference>
          <reference field="14" count="1" selected="0">
            <x v="1"/>
          </reference>
        </references>
      </pivotArea>
    </chartFormat>
    <chartFormat chart="4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0B4EAB-2843-47F1-B957-7E599DADED1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14:B2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7">
    <i>
      <x/>
    </i>
    <i>
      <x v="1"/>
    </i>
    <i>
      <x v="2"/>
    </i>
    <i>
      <x v="3"/>
    </i>
    <i>
      <x v="4"/>
    </i>
    <i>
      <x v="5"/>
    </i>
    <i>
      <x v="6"/>
    </i>
  </rowItems>
  <colItems count="1">
    <i/>
  </colItems>
  <dataFields count="1">
    <dataField name="Count of TX ID" fld="0" subtotal="count" baseField="0" baseItem="0"/>
  </dataFields>
  <formats count="6">
    <format dxfId="11">
      <pivotArea type="all" dataOnly="0" outline="0" fieldPosition="0"/>
    </format>
    <format dxfId="10">
      <pivotArea outline="0" collapsedLevelsAreSubtotals="1" fieldPosition="0"/>
    </format>
    <format dxfId="9">
      <pivotArea field="13" type="button" dataOnly="0" labelOnly="1" outline="0"/>
    </format>
    <format dxfId="8">
      <pivotArea type="all" dataOnly="0" outline="0" fieldPosition="0"/>
    </format>
    <format dxfId="7">
      <pivotArea outline="0" collapsedLevelsAreSubtotals="1" fieldPosition="0"/>
    </format>
    <format dxfId="6">
      <pivotArea field="13" type="button" dataOnly="0" labelOnly="1" outline="0"/>
    </format>
  </formats>
  <chartFormats count="8">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15" count="1" selected="0">
            <x v="0"/>
          </reference>
        </references>
      </pivotArea>
    </chartFormat>
    <chartFormat chart="38" format="4">
      <pivotArea type="data" outline="0" fieldPosition="0">
        <references count="2">
          <reference field="4294967294" count="1" selected="0">
            <x v="0"/>
          </reference>
          <reference field="15" count="1" selected="0">
            <x v="1"/>
          </reference>
        </references>
      </pivotArea>
    </chartFormat>
    <chartFormat chart="38" format="5">
      <pivotArea type="data" outline="0" fieldPosition="0">
        <references count="2">
          <reference field="4294967294" count="1" selected="0">
            <x v="0"/>
          </reference>
          <reference field="15" count="1" selected="0">
            <x v="2"/>
          </reference>
        </references>
      </pivotArea>
    </chartFormat>
    <chartFormat chart="38" format="6">
      <pivotArea type="data" outline="0" fieldPosition="0">
        <references count="2">
          <reference field="4294967294" count="1" selected="0">
            <x v="0"/>
          </reference>
          <reference field="15" count="1" selected="0">
            <x v="3"/>
          </reference>
        </references>
      </pivotArea>
    </chartFormat>
    <chartFormat chart="38" format="7">
      <pivotArea type="data" outline="0" fieldPosition="0">
        <references count="2">
          <reference field="4294967294" count="1" selected="0">
            <x v="0"/>
          </reference>
          <reference field="15" count="1" selected="0">
            <x v="4"/>
          </reference>
        </references>
      </pivotArea>
    </chartFormat>
    <chartFormat chart="38" format="8">
      <pivotArea type="data" outline="0" fieldPosition="0">
        <references count="2">
          <reference field="4294967294" count="1" selected="0">
            <x v="0"/>
          </reference>
          <reference field="15" count="1" selected="0">
            <x v="5"/>
          </reference>
        </references>
      </pivotArea>
    </chartFormat>
    <chartFormat chart="38" format="9">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83A4D3-C479-450E-A461-FC80F3A9BFA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3:E9"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x v="4"/>
    </i>
  </rowItems>
  <colFields count="1">
    <field x="14"/>
  </colFields>
  <colItems count="4">
    <i>
      <x/>
    </i>
    <i>
      <x v="1"/>
    </i>
    <i>
      <x v="2"/>
    </i>
    <i>
      <x v="3"/>
    </i>
  </colItems>
  <dataFields count="1">
    <dataField name="Sum of Amount" fld="4" showDataAs="percentOfTotal" baseField="0" baseItem="0" numFmtId="165"/>
  </dataFields>
  <formats count="9">
    <format dxfId="20">
      <pivotArea type="all" dataOnly="0" outline="0" fieldPosition="0"/>
    </format>
    <format dxfId="19">
      <pivotArea outline="0" collapsedLevelsAreSubtotals="1" fieldPosition="0"/>
    </format>
    <format dxfId="18">
      <pivotArea field="13" type="button" dataOnly="0" labelOnly="1" outline="0"/>
    </format>
    <format dxfId="17">
      <pivotArea dataOnly="0" labelOnly="1" outline="0" fieldPosition="0">
        <references count="1">
          <reference field="4294967294" count="1">
            <x v="0"/>
          </reference>
        </references>
      </pivotArea>
    </format>
    <format dxfId="16">
      <pivotArea type="all" dataOnly="0" outline="0" fieldPosition="0"/>
    </format>
    <format dxfId="15">
      <pivotArea outline="0" collapsedLevelsAreSubtotals="1" fieldPosition="0"/>
    </format>
    <format dxfId="14">
      <pivotArea field="13" type="button" dataOnly="0" labelOnly="1" outline="0"/>
    </format>
    <format dxfId="13">
      <pivotArea dataOnly="0" labelOnly="1" outline="0" fieldPosition="0">
        <references count="1">
          <reference field="4294967294" count="1">
            <x v="0"/>
          </reference>
        </references>
      </pivotArea>
    </format>
    <format dxfId="12">
      <pivotArea outline="0" fieldPosition="0">
        <references count="1">
          <reference field="4294967294" count="1">
            <x v="0"/>
          </reference>
        </references>
      </pivotArea>
    </format>
  </formats>
  <chartFormats count="2">
    <chartFormat chart="14" format="1"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11656E-CBF5-417B-BD2D-3FAEDFA2F10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8">
  <location ref="I22:L80" firstHeaderRow="0" firstDataRow="1" firstDataCol="2"/>
  <pivotFields count="18">
    <pivotField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2">
            <reference field="4294967294" count="1" selected="0">
              <x v="1"/>
            </reference>
            <reference field="1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Amount" fld="4" baseField="0" baseItem="0"/>
    <dataField name="Sum of Quantity" fld="2" baseField="0" baseItem="0"/>
  </dataFields>
  <formats count="6">
    <format dxfId="26">
      <pivotArea type="all" dataOnly="0" outline="0" fieldPosition="0"/>
    </format>
    <format dxfId="25">
      <pivotArea outline="0" collapsedLevelsAreSubtotals="1" fieldPosition="0"/>
    </format>
    <format dxfId="24">
      <pivotArea field="13" type="button" dataOnly="0" labelOnly="1" outline="0"/>
    </format>
    <format dxfId="23">
      <pivotArea type="all" dataOnly="0" outline="0" fieldPosition="0"/>
    </format>
    <format dxfId="22">
      <pivotArea outline="0" collapsedLevelsAreSubtotals="1" fieldPosition="0"/>
    </format>
    <format dxfId="21">
      <pivotArea field="13" type="button" dataOnly="0" labelOnly="1" outline="0"/>
    </format>
  </formats>
  <chartFormats count="2">
    <chartFormat chart="43" format="0" series="1">
      <pivotArea type="data" outline="0" fieldPosition="0">
        <references count="1">
          <reference field="4294967294" count="1" selected="0">
            <x v="1"/>
          </reference>
        </references>
      </pivotArea>
    </chartFormat>
    <chartFormat chart="46"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A08869-611B-4DAD-AA83-71CF0728FD9A}"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I15:J19"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2"/>
    </i>
    <i>
      <x v="3"/>
    </i>
  </rowItems>
  <colItems count="1">
    <i/>
  </colItems>
  <dataFields count="1">
    <dataField name="Sum of Quantity" fld="2" baseField="0" baseItem="0"/>
  </dataFields>
  <formats count="6">
    <format dxfId="32">
      <pivotArea type="all" dataOnly="0" outline="0" fieldPosition="0"/>
    </format>
    <format dxfId="31">
      <pivotArea outline="0" collapsedLevelsAreSubtotals="1" fieldPosition="0"/>
    </format>
    <format dxfId="30">
      <pivotArea field="13" type="button" dataOnly="0" labelOnly="1" outline="0"/>
    </format>
    <format dxfId="29">
      <pivotArea type="all" dataOnly="0" outline="0" fieldPosition="0"/>
    </format>
    <format dxfId="28">
      <pivotArea outline="0" collapsedLevelsAreSubtotals="1" fieldPosition="0"/>
    </format>
    <format dxfId="27">
      <pivotArea field="13" type="button" dataOnly="0" labelOnly="1" outline="0"/>
    </format>
  </formats>
  <chartFormats count="17">
    <chartFormat chart="39" format="0" series="1">
      <pivotArea type="data" outline="0" fieldPosition="0">
        <references count="2">
          <reference field="4294967294" count="1" selected="0">
            <x v="0"/>
          </reference>
          <reference field="14" count="1" selected="0">
            <x v="0"/>
          </reference>
        </references>
      </pivotArea>
    </chartFormat>
    <chartFormat chart="39" format="1" series="1">
      <pivotArea type="data" outline="0" fieldPosition="0">
        <references count="2">
          <reference field="4294967294" count="1" selected="0">
            <x v="0"/>
          </reference>
          <reference field="14" count="1" selected="0">
            <x v="1"/>
          </reference>
        </references>
      </pivotArea>
    </chartFormat>
    <chartFormat chart="39" format="2" series="1">
      <pivotArea type="data" outline="0" fieldPosition="0">
        <references count="2">
          <reference field="4294967294" count="1" selected="0">
            <x v="0"/>
          </reference>
          <reference field="14" count="1" selected="0">
            <x v="2"/>
          </reference>
        </references>
      </pivotArea>
    </chartFormat>
    <chartFormat chart="39" format="3" series="1">
      <pivotArea type="data" outline="0" fieldPosition="0">
        <references count="2">
          <reference field="4294967294" count="1" selected="0">
            <x v="0"/>
          </reference>
          <reference field="14" count="1" selected="0">
            <x v="3"/>
          </reference>
        </references>
      </pivotArea>
    </chartFormat>
    <chartFormat chart="41" format="4" series="1">
      <pivotArea type="data" outline="0" fieldPosition="0">
        <references count="2">
          <reference field="4294967294" count="1" selected="0">
            <x v="0"/>
          </reference>
          <reference field="14" count="1" selected="0">
            <x v="0"/>
          </reference>
        </references>
      </pivotArea>
    </chartFormat>
    <chartFormat chart="41" format="5" series="1">
      <pivotArea type="data" outline="0" fieldPosition="0">
        <references count="2">
          <reference field="4294967294" count="1" selected="0">
            <x v="0"/>
          </reference>
          <reference field="14" count="1" selected="0">
            <x v="2"/>
          </reference>
        </references>
      </pivotArea>
    </chartFormat>
    <chartFormat chart="41" format="6" series="1">
      <pivotArea type="data" outline="0" fieldPosition="0">
        <references count="2">
          <reference field="4294967294" count="1" selected="0">
            <x v="0"/>
          </reference>
          <reference field="14" count="1" selected="0">
            <x v="3"/>
          </reference>
        </references>
      </pivotArea>
    </chartFormat>
    <chartFormat chart="41" format="7" series="1">
      <pivotArea type="data" outline="0" fieldPosition="0">
        <references count="2">
          <reference field="4294967294" count="1" selected="0">
            <x v="0"/>
          </reference>
          <reference field="14" count="1" selected="0">
            <x v="1"/>
          </reference>
        </references>
      </pivotArea>
    </chartFormat>
    <chartFormat chart="42" format="8" series="1">
      <pivotArea type="data" outline="0" fieldPosition="0">
        <references count="2">
          <reference field="4294967294" count="1" selected="0">
            <x v="0"/>
          </reference>
          <reference field="14" count="1" selected="0">
            <x v="0"/>
          </reference>
        </references>
      </pivotArea>
    </chartFormat>
    <chartFormat chart="42" format="9" series="1">
      <pivotArea type="data" outline="0" fieldPosition="0">
        <references count="2">
          <reference field="4294967294" count="1" selected="0">
            <x v="0"/>
          </reference>
          <reference field="14" count="1" selected="0">
            <x v="2"/>
          </reference>
        </references>
      </pivotArea>
    </chartFormat>
    <chartFormat chart="42" format="10" series="1">
      <pivotArea type="data" outline="0" fieldPosition="0">
        <references count="2">
          <reference field="4294967294" count="1" selected="0">
            <x v="0"/>
          </reference>
          <reference field="14" count="1" selected="0">
            <x v="3"/>
          </reference>
        </references>
      </pivotArea>
    </chartFormat>
    <chartFormat chart="42" format="11" series="1">
      <pivotArea type="data" outline="0" fieldPosition="0">
        <references count="2">
          <reference field="4294967294" count="1" selected="0">
            <x v="0"/>
          </reference>
          <reference field="14" count="1" selected="0">
            <x v="1"/>
          </reference>
        </references>
      </pivotArea>
    </chartFormat>
    <chartFormat chart="46" format="10" series="1">
      <pivotArea type="data" outline="0" fieldPosition="0">
        <references count="1">
          <reference field="4294967294" count="1" selected="0">
            <x v="0"/>
          </reference>
        </references>
      </pivotArea>
    </chartFormat>
    <chartFormat chart="46" format="11">
      <pivotArea type="data" outline="0" fieldPosition="0">
        <references count="2">
          <reference field="4294967294" count="1" selected="0">
            <x v="0"/>
          </reference>
          <reference field="14" count="1" selected="0">
            <x v="0"/>
          </reference>
        </references>
      </pivotArea>
    </chartFormat>
    <chartFormat chart="46" format="12">
      <pivotArea type="data" outline="0" fieldPosition="0">
        <references count="2">
          <reference field="4294967294" count="1" selected="0">
            <x v="0"/>
          </reference>
          <reference field="14" count="1" selected="0">
            <x v="1"/>
          </reference>
        </references>
      </pivotArea>
    </chartFormat>
    <chartFormat chart="46" format="13">
      <pivotArea type="data" outline="0" fieldPosition="0">
        <references count="2">
          <reference field="4294967294" count="1" selected="0">
            <x v="0"/>
          </reference>
          <reference field="14" count="1" selected="0">
            <x v="2"/>
          </reference>
        </references>
      </pivotArea>
    </chartFormat>
    <chartFormat chart="46"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C273433C-3365-4A4B-9142-EA3BF43762DA}" sourceName="Order Mode">
  <pivotTables>
    <pivotTable tabId="5" name="PivotTable5"/>
    <pivotTable tabId="5" name="PivotTable1"/>
    <pivotTable tabId="5" name="PivotTable12"/>
    <pivotTable tabId="5" name="PivotTable13"/>
    <pivotTable tabId="12" name="PivotTable10"/>
    <pivotTable tabId="12" name="PivotTable11"/>
    <pivotTable tabId="12" name="PivotTable7"/>
    <pivotTable tabId="12" name="PivotTable8"/>
    <pivotTable tabId="12" name="PivotTable9"/>
  </pivotTables>
  <data>
    <tabular pivotCacheId="2085365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5BF9F87-0177-46A9-9B3D-98C701A04E99}" sourceName="Gender Value">
  <pivotTables>
    <pivotTable tabId="5" name="PivotTable5"/>
    <pivotTable tabId="5" name="PivotTable1"/>
    <pivotTable tabId="5" name="PivotTable12"/>
    <pivotTable tabId="12" name="PivotTable10"/>
    <pivotTable tabId="12" name="PivotTable11"/>
    <pivotTable tabId="12" name="PivotTable7"/>
    <pivotTable tabId="12" name="PivotTable8"/>
    <pivotTable tabId="12" name="PivotTable9"/>
  </pivotTables>
  <data>
    <tabular pivotCacheId="2085365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AED45E5E-3B4E-4A17-9EC4-36B530A6C0A9}" cache="Slicer_Order_Mode" caption="Order Mode" rowHeight="247650"/>
  <slicer name="Gender Value" xr10:uid="{9ECD6648-600A-4797-8C16-1514A97772CA}"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37"/>
    <tableColumn id="7" xr3:uid="{43BB5DBF-46E1-4185-80C0-4361F55A385C}" name="Ship Date" dataDxfId="36"/>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35">
      <calculatedColumnFormula>orders[[#This Row],[Ship Date]]-orders[[#This Row],[Order Date]]</calculatedColumnFormula>
    </tableColumn>
    <tableColumn id="12" xr3:uid="{B071C0DA-87A9-4516-B4D9-4F5B7D3FF44A}" name="Weeknum" dataDxfId="34">
      <calculatedColumnFormula>WEEKNUM(orders[[#This Row],[Order Date]])</calculatedColumnFormula>
    </tableColumn>
    <tableColumn id="13" xr3:uid="{B8EA9E28-7541-4E76-9935-C26438661A18}" name="Gender Value" dataDxfId="33">
      <calculatedColumnFormula array="1">_xlfn.IFS(orders[[#This Row],[Customer Gender]]="M","Male", orders[[#This Row],[Customer Gender]]="F","Female", orders[[#This Row],[Customer Gender]]="O","Other", TRUE,"Unknown")</calculatedColumnFormula>
    </tableColumn>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10" workbookViewId="0">
      <selection activeCell="Q12" sqref="Q12"/>
    </sheetView>
  </sheetViews>
  <sheetFormatPr defaultRowHeight="14.4" x14ac:dyDescent="0.3"/>
  <cols>
    <col min="2" max="2" width="19.10937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8.77734375" bestFit="1" customWidth="1"/>
    <col min="12" max="12" width="19.6640625" bestFit="1" customWidth="1"/>
    <col min="13" max="13" width="15.5546875" bestFit="1" customWidth="1"/>
    <col min="14" max="14" width="11.5546875" bestFit="1" customWidth="1"/>
    <col min="15" max="15" width="14.3320312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7" sqref="B7"/>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8F457-0122-4528-81CB-BDA133B1F9C5}">
  <dimension ref="A3:N30"/>
  <sheetViews>
    <sheetView topLeftCell="B7" workbookViewId="0">
      <selection activeCell="L26" sqref="L26"/>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5" width="22.33203125" bestFit="1" customWidth="1"/>
    <col min="6" max="6" width="12.44140625" bestFit="1" customWidth="1"/>
    <col min="7" max="7" width="12.21875" bestFit="1" customWidth="1"/>
    <col min="8" max="8" width="15.5546875" bestFit="1" customWidth="1"/>
    <col min="9" max="9" width="12.44140625" bestFit="1" customWidth="1"/>
    <col min="10" max="10" width="15.5546875" bestFit="1" customWidth="1"/>
    <col min="11" max="11" width="3" bestFit="1" customWidth="1"/>
    <col min="12" max="14" width="4" bestFit="1" customWidth="1"/>
    <col min="15" max="15" width="13.5546875" bestFit="1" customWidth="1"/>
  </cols>
  <sheetData>
    <row r="3" spans="1:14" x14ac:dyDescent="0.3">
      <c r="A3" t="s">
        <v>2519</v>
      </c>
      <c r="B3" t="s">
        <v>2518</v>
      </c>
      <c r="C3" t="s">
        <v>2520</v>
      </c>
      <c r="D3" t="s">
        <v>2521</v>
      </c>
      <c r="E3" t="s">
        <v>2522</v>
      </c>
    </row>
    <row r="4" spans="1:14" x14ac:dyDescent="0.3">
      <c r="A4">
        <v>2400</v>
      </c>
      <c r="B4">
        <v>11997</v>
      </c>
      <c r="C4">
        <v>649019.80000000144</v>
      </c>
      <c r="D4">
        <v>3.9620833333333332</v>
      </c>
      <c r="E4">
        <v>2.3424999999999998</v>
      </c>
    </row>
    <row r="9" spans="1:14" x14ac:dyDescent="0.3">
      <c r="E9" t="s">
        <v>2519</v>
      </c>
      <c r="F9" t="s">
        <v>2518</v>
      </c>
      <c r="G9" t="s">
        <v>2520</v>
      </c>
      <c r="H9" t="s">
        <v>2521</v>
      </c>
      <c r="I9" t="s">
        <v>2522</v>
      </c>
    </row>
    <row r="10" spans="1:14" x14ac:dyDescent="0.3">
      <c r="E10" t="str">
        <f>TEXT(A4,"#,##")</f>
        <v>2,400</v>
      </c>
      <c r="F10" t="str">
        <f>TEXT(B4,"#,##")</f>
        <v>11,997</v>
      </c>
      <c r="G10" t="str">
        <f>TEXT(C4,"$#,##,.0k")</f>
        <v>$649.0k</v>
      </c>
      <c r="H10" t="str">
        <f>TEXT(D4,"0.0")</f>
        <v>4.0</v>
      </c>
      <c r="I10" t="str">
        <f>TEXT(E4,"0.0")</f>
        <v>2.3</v>
      </c>
    </row>
    <row r="15" spans="1:14" x14ac:dyDescent="0.3">
      <c r="B15" s="5" t="s">
        <v>2527</v>
      </c>
      <c r="C15" t="s">
        <v>2518</v>
      </c>
      <c r="D15" t="s">
        <v>2520</v>
      </c>
      <c r="F15" s="5" t="s">
        <v>2527</v>
      </c>
      <c r="G15" t="s">
        <v>2519</v>
      </c>
      <c r="I15" s="5" t="s">
        <v>2519</v>
      </c>
      <c r="J15" s="5" t="s">
        <v>2528</v>
      </c>
    </row>
    <row r="16" spans="1:14" x14ac:dyDescent="0.3">
      <c r="B16" s="6">
        <v>1</v>
      </c>
      <c r="C16">
        <v>546</v>
      </c>
      <c r="D16" s="7">
        <v>32413.300000000003</v>
      </c>
      <c r="F16" s="6">
        <v>0</v>
      </c>
      <c r="G16">
        <v>175</v>
      </c>
      <c r="I16" s="5" t="s">
        <v>2527</v>
      </c>
      <c r="J16">
        <v>1</v>
      </c>
      <c r="K16">
        <v>2</v>
      </c>
      <c r="L16">
        <v>3</v>
      </c>
      <c r="M16">
        <v>4</v>
      </c>
      <c r="N16">
        <v>5</v>
      </c>
    </row>
    <row r="17" spans="2:14" x14ac:dyDescent="0.3">
      <c r="B17" s="6">
        <v>2</v>
      </c>
      <c r="C17">
        <v>905</v>
      </c>
      <c r="D17" s="7">
        <v>49562.999999999993</v>
      </c>
      <c r="F17" s="6">
        <v>1</v>
      </c>
      <c r="G17">
        <v>888</v>
      </c>
      <c r="I17" s="6" t="s">
        <v>2531</v>
      </c>
      <c r="J17">
        <v>7</v>
      </c>
      <c r="K17">
        <v>37</v>
      </c>
      <c r="L17">
        <v>150</v>
      </c>
      <c r="M17">
        <v>312</v>
      </c>
      <c r="N17">
        <v>224</v>
      </c>
    </row>
    <row r="18" spans="2:14" x14ac:dyDescent="0.3">
      <c r="B18" s="6">
        <v>3</v>
      </c>
      <c r="C18">
        <v>796</v>
      </c>
      <c r="D18" s="7">
        <v>41700.400000000016</v>
      </c>
      <c r="F18" s="6">
        <v>2</v>
      </c>
      <c r="G18">
        <v>538</v>
      </c>
      <c r="I18" s="6" t="s">
        <v>2532</v>
      </c>
      <c r="J18">
        <v>8</v>
      </c>
      <c r="K18">
        <v>51</v>
      </c>
      <c r="L18">
        <v>182</v>
      </c>
      <c r="M18">
        <v>373</v>
      </c>
      <c r="N18">
        <v>247</v>
      </c>
    </row>
    <row r="19" spans="2:14" x14ac:dyDescent="0.3">
      <c r="B19" s="6">
        <v>4</v>
      </c>
      <c r="C19">
        <v>913</v>
      </c>
      <c r="D19" s="7">
        <v>46782.599999999984</v>
      </c>
      <c r="F19" s="6">
        <v>3</v>
      </c>
      <c r="G19">
        <v>344</v>
      </c>
      <c r="I19" s="6" t="s">
        <v>2533</v>
      </c>
      <c r="J19">
        <v>6</v>
      </c>
      <c r="K19">
        <v>39</v>
      </c>
      <c r="L19">
        <v>163</v>
      </c>
      <c r="M19">
        <v>351</v>
      </c>
      <c r="N19">
        <v>250</v>
      </c>
    </row>
    <row r="20" spans="2:14" x14ac:dyDescent="0.3">
      <c r="B20" s="6">
        <v>5</v>
      </c>
      <c r="C20">
        <v>844</v>
      </c>
      <c r="D20" s="7">
        <v>42676.100000000006</v>
      </c>
      <c r="F20" s="6">
        <v>4</v>
      </c>
      <c r="G20">
        <v>200</v>
      </c>
    </row>
    <row r="21" spans="2:14" x14ac:dyDescent="0.3">
      <c r="B21" s="6">
        <v>6</v>
      </c>
      <c r="C21">
        <v>1202</v>
      </c>
      <c r="D21" s="7">
        <v>62910.7</v>
      </c>
      <c r="F21" s="6">
        <v>5</v>
      </c>
      <c r="G21">
        <v>94</v>
      </c>
    </row>
    <row r="22" spans="2:14" x14ac:dyDescent="0.3">
      <c r="B22" s="6">
        <v>7</v>
      </c>
      <c r="C22">
        <v>935</v>
      </c>
      <c r="D22" s="7">
        <v>50332.200000000004</v>
      </c>
      <c r="F22" s="6">
        <v>6</v>
      </c>
      <c r="G22">
        <v>51</v>
      </c>
    </row>
    <row r="23" spans="2:14" x14ac:dyDescent="0.3">
      <c r="B23" s="6">
        <v>8</v>
      </c>
      <c r="C23">
        <v>1128</v>
      </c>
      <c r="D23" s="7">
        <v>58760.599999999977</v>
      </c>
      <c r="F23" s="6">
        <v>7</v>
      </c>
      <c r="G23">
        <v>32</v>
      </c>
    </row>
    <row r="24" spans="2:14" x14ac:dyDescent="0.3">
      <c r="B24" s="6">
        <v>9</v>
      </c>
      <c r="C24">
        <v>1007</v>
      </c>
      <c r="D24" s="7">
        <v>52017.299999999996</v>
      </c>
      <c r="F24" s="6">
        <v>8</v>
      </c>
      <c r="G24">
        <v>23</v>
      </c>
    </row>
    <row r="25" spans="2:14" x14ac:dyDescent="0.3">
      <c r="B25" s="6">
        <v>10</v>
      </c>
      <c r="C25">
        <v>1128</v>
      </c>
      <c r="D25" s="7">
        <v>64915.700000000033</v>
      </c>
      <c r="F25" s="6">
        <v>9</v>
      </c>
      <c r="G25">
        <v>9</v>
      </c>
    </row>
    <row r="26" spans="2:14" x14ac:dyDescent="0.3">
      <c r="B26" s="6">
        <v>11</v>
      </c>
      <c r="C26">
        <v>861</v>
      </c>
      <c r="D26" s="7">
        <v>45943.80000000001</v>
      </c>
      <c r="F26" s="6">
        <v>10</v>
      </c>
      <c r="G26">
        <v>8</v>
      </c>
    </row>
    <row r="27" spans="2:14" x14ac:dyDescent="0.3">
      <c r="B27" s="6">
        <v>12</v>
      </c>
      <c r="C27">
        <v>944</v>
      </c>
      <c r="D27" s="7">
        <v>55077.900000000031</v>
      </c>
      <c r="F27" s="6">
        <v>11</v>
      </c>
      <c r="G27">
        <v>11</v>
      </c>
    </row>
    <row r="28" spans="2:14" x14ac:dyDescent="0.3">
      <c r="B28" s="6">
        <v>13</v>
      </c>
      <c r="C28">
        <v>788</v>
      </c>
      <c r="D28" s="7">
        <v>45926.19999999999</v>
      </c>
      <c r="F28" s="6">
        <v>12</v>
      </c>
      <c r="G28">
        <v>4</v>
      </c>
    </row>
    <row r="29" spans="2:14" x14ac:dyDescent="0.3">
      <c r="F29" s="6">
        <v>13</v>
      </c>
      <c r="G29">
        <v>10</v>
      </c>
    </row>
    <row r="30" spans="2:14" x14ac:dyDescent="0.3">
      <c r="F30" s="6">
        <v>14</v>
      </c>
      <c r="G30">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16D5B-9AA9-4D39-A830-F6520CC59E3B}">
  <dimension ref="A3:U80"/>
  <sheetViews>
    <sheetView topLeftCell="G8" zoomScaleNormal="100" workbookViewId="0">
      <selection activeCell="N22" sqref="N22:P80"/>
    </sheetView>
  </sheetViews>
  <sheetFormatPr defaultRowHeight="14.4" x14ac:dyDescent="0.3"/>
  <cols>
    <col min="1" max="1" width="14.6640625" bestFit="1" customWidth="1"/>
    <col min="2" max="2" width="12.21875" bestFit="1" customWidth="1"/>
    <col min="3" max="3" width="19.109375" bestFit="1" customWidth="1"/>
    <col min="4" max="4" width="17.77734375" bestFit="1" customWidth="1"/>
    <col min="5" max="5" width="5" bestFit="1" customWidth="1"/>
    <col min="6" max="6" width="5.6640625" bestFit="1" customWidth="1"/>
    <col min="7" max="7" width="8.5546875" bestFit="1" customWidth="1"/>
    <col min="8" max="8" width="5" bestFit="1" customWidth="1"/>
    <col min="9" max="9" width="14.6640625" bestFit="1" customWidth="1"/>
    <col min="10" max="10" width="19.6640625" bestFit="1" customWidth="1"/>
    <col min="11" max="11" width="13.5546875" bestFit="1" customWidth="1"/>
    <col min="12" max="12" width="14.21875" bestFit="1" customWidth="1"/>
    <col min="13" max="13" width="14.6640625" bestFit="1" customWidth="1"/>
    <col min="14" max="14" width="8.77734375" bestFit="1" customWidth="1"/>
    <col min="15" max="15" width="19.6640625" bestFit="1" customWidth="1"/>
    <col min="16" max="16" width="13.109375" bestFit="1" customWidth="1"/>
    <col min="17" max="17" width="8.5546875" bestFit="1" customWidth="1"/>
    <col min="19" max="19" width="8.77734375" bestFit="1" customWidth="1"/>
    <col min="20" max="20" width="19.6640625" bestFit="1" customWidth="1"/>
    <col min="21" max="21" width="13.5546875" bestFit="1" customWidth="1"/>
  </cols>
  <sheetData>
    <row r="3" spans="1:12" x14ac:dyDescent="0.3">
      <c r="A3" s="8" t="s">
        <v>2520</v>
      </c>
      <c r="B3" s="8" t="s">
        <v>2528</v>
      </c>
      <c r="C3" s="9"/>
      <c r="D3" s="9"/>
      <c r="E3" s="9"/>
    </row>
    <row r="4" spans="1:12" x14ac:dyDescent="0.3">
      <c r="A4" s="8" t="s">
        <v>2527</v>
      </c>
      <c r="B4" s="9" t="s">
        <v>2525</v>
      </c>
      <c r="C4" s="9" t="s">
        <v>2524</v>
      </c>
      <c r="D4" s="9" t="s">
        <v>2526</v>
      </c>
      <c r="E4" s="9" t="s">
        <v>2523</v>
      </c>
    </row>
    <row r="5" spans="1:12" x14ac:dyDescent="0.3">
      <c r="A5" s="9" t="s">
        <v>18</v>
      </c>
      <c r="B5" s="10">
        <v>0.18961825201634841</v>
      </c>
      <c r="C5" s="10">
        <v>0.12262322351336576</v>
      </c>
      <c r="D5" s="10">
        <v>1.060537752469185E-2</v>
      </c>
      <c r="E5" s="10">
        <v>3.0599220547662797E-2</v>
      </c>
      <c r="I5" s="11"/>
      <c r="J5" s="11"/>
      <c r="K5" s="11"/>
      <c r="L5" s="11"/>
    </row>
    <row r="6" spans="1:12" x14ac:dyDescent="0.3">
      <c r="A6" s="9" t="s">
        <v>51</v>
      </c>
      <c r="B6" s="10">
        <v>5.0283982091147303E-2</v>
      </c>
      <c r="C6" s="10">
        <v>4.3060781812819873E-2</v>
      </c>
      <c r="D6" s="10">
        <v>1.5320025675641944E-3</v>
      </c>
      <c r="E6" s="10">
        <v>1.7794988689097006E-2</v>
      </c>
      <c r="I6" s="11"/>
      <c r="J6" s="11"/>
      <c r="K6" s="11"/>
      <c r="L6" s="11"/>
    </row>
    <row r="7" spans="1:12" x14ac:dyDescent="0.3">
      <c r="A7" s="9" t="s">
        <v>70</v>
      </c>
      <c r="B7" s="10">
        <v>6.3496059750411282E-2</v>
      </c>
      <c r="C7" s="10">
        <v>4.6071629863988765E-2</v>
      </c>
      <c r="D7" s="10">
        <v>2.306247051322625E-3</v>
      </c>
      <c r="E7" s="10">
        <v>3.8927934093844286E-3</v>
      </c>
      <c r="I7" s="11"/>
      <c r="J7" s="11"/>
      <c r="K7" s="11"/>
      <c r="L7" s="11"/>
    </row>
    <row r="8" spans="1:12" x14ac:dyDescent="0.3">
      <c r="A8" s="9" t="s">
        <v>40</v>
      </c>
      <c r="B8" s="10">
        <v>9.6337892927149532E-2</v>
      </c>
      <c r="C8" s="10">
        <v>6.7920115842382611E-2</v>
      </c>
      <c r="D8" s="10">
        <v>5.4979832664581261E-3</v>
      </c>
      <c r="E8" s="10">
        <v>1.2933041488102518E-2</v>
      </c>
      <c r="I8" s="11"/>
      <c r="J8" s="11"/>
      <c r="K8" s="11"/>
      <c r="L8" s="11"/>
    </row>
    <row r="9" spans="1:12" x14ac:dyDescent="0.3">
      <c r="A9" s="9" t="s">
        <v>35</v>
      </c>
      <c r="B9" s="10">
        <v>0.12522098709469262</v>
      </c>
      <c r="C9" s="10">
        <v>9.1492740283116228E-2</v>
      </c>
      <c r="D9" s="10">
        <v>6.3042760790965081E-3</v>
      </c>
      <c r="E9" s="10">
        <v>1.2408404181197551E-2</v>
      </c>
      <c r="I9" s="11"/>
      <c r="J9" s="11"/>
      <c r="K9" s="11"/>
      <c r="L9" s="11"/>
    </row>
    <row r="14" spans="1:12" x14ac:dyDescent="0.3">
      <c r="A14" s="8" t="s">
        <v>2527</v>
      </c>
      <c r="B14" s="9" t="s">
        <v>2519</v>
      </c>
      <c r="C14" s="8" t="s">
        <v>2518</v>
      </c>
      <c r="D14" s="8" t="s">
        <v>2528</v>
      </c>
      <c r="E14" s="9"/>
      <c r="F14" s="9"/>
      <c r="G14" s="9"/>
    </row>
    <row r="15" spans="1:12" x14ac:dyDescent="0.3">
      <c r="A15" s="9">
        <v>1</v>
      </c>
      <c r="B15" s="9">
        <v>397</v>
      </c>
      <c r="C15" s="8" t="s">
        <v>2527</v>
      </c>
      <c r="D15" s="9" t="s">
        <v>2525</v>
      </c>
      <c r="E15" s="9" t="s">
        <v>2524</v>
      </c>
      <c r="F15" s="9" t="s">
        <v>2526</v>
      </c>
      <c r="G15" s="9" t="s">
        <v>2523</v>
      </c>
      <c r="I15" s="8" t="s">
        <v>2527</v>
      </c>
      <c r="J15" s="9" t="s">
        <v>2518</v>
      </c>
    </row>
    <row r="16" spans="1:12" x14ac:dyDescent="0.3">
      <c r="A16" s="9">
        <v>2</v>
      </c>
      <c r="B16" s="9">
        <v>540</v>
      </c>
      <c r="C16" s="9" t="s">
        <v>81</v>
      </c>
      <c r="D16" s="9">
        <v>43</v>
      </c>
      <c r="E16" s="9">
        <v>90</v>
      </c>
      <c r="F16" s="9">
        <v>8</v>
      </c>
      <c r="G16" s="9">
        <v>6</v>
      </c>
      <c r="I16" s="9" t="s">
        <v>2525</v>
      </c>
      <c r="J16" s="9">
        <v>6272</v>
      </c>
    </row>
    <row r="17" spans="1:21" x14ac:dyDescent="0.3">
      <c r="A17" s="9">
        <v>3</v>
      </c>
      <c r="B17" s="9">
        <v>375</v>
      </c>
      <c r="C17" s="9" t="s">
        <v>54</v>
      </c>
      <c r="D17" s="9">
        <v>482</v>
      </c>
      <c r="E17" s="9">
        <v>295</v>
      </c>
      <c r="F17" s="9">
        <v>8</v>
      </c>
      <c r="G17" s="9">
        <v>22</v>
      </c>
      <c r="I17" s="9" t="s">
        <v>2524</v>
      </c>
      <c r="J17" s="9">
        <v>4672</v>
      </c>
    </row>
    <row r="18" spans="1:21" x14ac:dyDescent="0.3">
      <c r="A18" s="9">
        <v>4</v>
      </c>
      <c r="B18" s="9">
        <v>246</v>
      </c>
      <c r="C18" s="9" t="s">
        <v>69</v>
      </c>
      <c r="D18" s="9">
        <v>234</v>
      </c>
      <c r="E18" s="9">
        <v>93</v>
      </c>
      <c r="F18" s="9">
        <v>19</v>
      </c>
      <c r="G18" s="9">
        <v>24</v>
      </c>
      <c r="I18" s="9" t="s">
        <v>2526</v>
      </c>
      <c r="J18" s="9">
        <v>317</v>
      </c>
    </row>
    <row r="19" spans="1:21" x14ac:dyDescent="0.3">
      <c r="A19" s="9">
        <v>5</v>
      </c>
      <c r="B19" s="9">
        <v>195</v>
      </c>
      <c r="C19" s="9" t="s">
        <v>123</v>
      </c>
      <c r="D19" s="9">
        <v>153</v>
      </c>
      <c r="E19" s="9">
        <v>246</v>
      </c>
      <c r="F19" s="9">
        <v>30</v>
      </c>
      <c r="G19" s="9">
        <v>8</v>
      </c>
      <c r="I19" s="9" t="s">
        <v>2523</v>
      </c>
      <c r="J19" s="9">
        <v>736</v>
      </c>
    </row>
    <row r="20" spans="1:21" x14ac:dyDescent="0.3">
      <c r="A20" s="9" t="s">
        <v>2529</v>
      </c>
      <c r="B20" s="9">
        <v>414</v>
      </c>
      <c r="C20" s="9" t="s">
        <v>32</v>
      </c>
      <c r="D20" s="9">
        <v>431</v>
      </c>
      <c r="E20" s="9">
        <v>187</v>
      </c>
      <c r="F20" s="9">
        <v>14</v>
      </c>
      <c r="G20" s="9">
        <v>15</v>
      </c>
    </row>
    <row r="21" spans="1:21" x14ac:dyDescent="0.3">
      <c r="A21" s="9" t="s">
        <v>2530</v>
      </c>
      <c r="B21" s="9">
        <v>233</v>
      </c>
      <c r="C21" s="9" t="s">
        <v>42</v>
      </c>
      <c r="D21" s="9">
        <v>264</v>
      </c>
      <c r="E21" s="9">
        <v>318</v>
      </c>
      <c r="F21" s="9">
        <v>15</v>
      </c>
      <c r="G21" s="9">
        <v>9</v>
      </c>
    </row>
    <row r="22" spans="1:21" x14ac:dyDescent="0.3">
      <c r="C22" s="9" t="s">
        <v>39</v>
      </c>
      <c r="D22" s="9">
        <v>716</v>
      </c>
      <c r="E22" s="9">
        <v>598</v>
      </c>
      <c r="F22" s="9">
        <v>18</v>
      </c>
      <c r="G22" s="9">
        <v>214</v>
      </c>
      <c r="I22" s="8" t="s">
        <v>10</v>
      </c>
      <c r="J22" s="8" t="s">
        <v>11</v>
      </c>
      <c r="K22" s="9" t="s">
        <v>2520</v>
      </c>
      <c r="L22" s="9" t="s">
        <v>2518</v>
      </c>
      <c r="N22" t="str">
        <f>I22</f>
        <v>State</v>
      </c>
      <c r="O22" t="str">
        <f t="shared" ref="O22:P25" si="0">J22</f>
        <v>County</v>
      </c>
      <c r="P22" t="s">
        <v>4</v>
      </c>
      <c r="S22" t="str">
        <f>I22</f>
        <v>State</v>
      </c>
      <c r="T22" t="str">
        <f>J22</f>
        <v>County</v>
      </c>
      <c r="U22" t="s">
        <v>2</v>
      </c>
    </row>
    <row r="23" spans="1:21" x14ac:dyDescent="0.3">
      <c r="C23" s="9" t="s">
        <v>171</v>
      </c>
      <c r="D23" s="9">
        <v>26</v>
      </c>
      <c r="E23" s="9">
        <v>35</v>
      </c>
      <c r="F23" s="9">
        <v>4</v>
      </c>
      <c r="G23" s="9"/>
      <c r="I23" s="9" t="s">
        <v>19</v>
      </c>
      <c r="J23" s="9" t="s">
        <v>115</v>
      </c>
      <c r="K23" s="9">
        <v>31884.999999999996</v>
      </c>
      <c r="L23" s="9">
        <v>579</v>
      </c>
      <c r="N23" t="str">
        <f>I23</f>
        <v>California</v>
      </c>
      <c r="O23" t="str">
        <f t="shared" si="0"/>
        <v>Alameda County</v>
      </c>
      <c r="P23">
        <f t="shared" si="0"/>
        <v>31884.999999999996</v>
      </c>
      <c r="S23" t="str">
        <f t="shared" ref="S23:S32" si="1">I23</f>
        <v>California</v>
      </c>
      <c r="T23" t="str">
        <f t="shared" ref="T23:T32" si="2">J23</f>
        <v>Alameda County</v>
      </c>
      <c r="U23">
        <f t="shared" ref="U23:U80" si="3">L23</f>
        <v>579</v>
      </c>
    </row>
    <row r="24" spans="1:21" x14ac:dyDescent="0.3">
      <c r="C24" s="9" t="s">
        <v>146</v>
      </c>
      <c r="D24" s="9">
        <v>189</v>
      </c>
      <c r="E24" s="9">
        <v>168</v>
      </c>
      <c r="F24" s="9">
        <v>10</v>
      </c>
      <c r="G24" s="9">
        <v>31</v>
      </c>
      <c r="I24" s="9" t="s">
        <v>19</v>
      </c>
      <c r="J24" s="9" t="s">
        <v>20</v>
      </c>
      <c r="K24" s="9">
        <v>10.9</v>
      </c>
      <c r="L24" s="9">
        <v>1</v>
      </c>
      <c r="N24" t="str">
        <f>I24</f>
        <v>California</v>
      </c>
      <c r="O24" t="str">
        <f t="shared" si="0"/>
        <v>Alpine County</v>
      </c>
      <c r="P24">
        <f t="shared" si="0"/>
        <v>10.9</v>
      </c>
      <c r="S24" t="str">
        <f t="shared" si="1"/>
        <v>California</v>
      </c>
      <c r="T24" t="str">
        <f t="shared" si="2"/>
        <v>Alpine County</v>
      </c>
      <c r="U24">
        <f t="shared" si="3"/>
        <v>1</v>
      </c>
    </row>
    <row r="25" spans="1:21" x14ac:dyDescent="0.3">
      <c r="C25" s="9" t="s">
        <v>67</v>
      </c>
      <c r="D25" s="9">
        <v>179</v>
      </c>
      <c r="E25" s="9">
        <v>76</v>
      </c>
      <c r="F25" s="9">
        <v>3</v>
      </c>
      <c r="G25" s="9"/>
      <c r="I25" s="9" t="s">
        <v>19</v>
      </c>
      <c r="J25" s="9" t="s">
        <v>641</v>
      </c>
      <c r="K25" s="9">
        <v>800.3</v>
      </c>
      <c r="L25" s="9">
        <v>9</v>
      </c>
      <c r="N25" t="str">
        <f>I25</f>
        <v>California</v>
      </c>
      <c r="O25" t="str">
        <f t="shared" si="0"/>
        <v>Amador County</v>
      </c>
      <c r="P25">
        <f t="shared" si="0"/>
        <v>800.3</v>
      </c>
      <c r="S25" t="str">
        <f t="shared" si="1"/>
        <v>California</v>
      </c>
      <c r="T25" t="str">
        <f t="shared" si="2"/>
        <v>Amador County</v>
      </c>
      <c r="U25">
        <f t="shared" si="3"/>
        <v>9</v>
      </c>
    </row>
    <row r="26" spans="1:21" x14ac:dyDescent="0.3">
      <c r="C26" s="9" t="s">
        <v>135</v>
      </c>
      <c r="D26" s="9">
        <v>127</v>
      </c>
      <c r="E26" s="9">
        <v>118</v>
      </c>
      <c r="F26" s="9">
        <v>13</v>
      </c>
      <c r="G26" s="9">
        <v>12</v>
      </c>
      <c r="I26" s="9" t="s">
        <v>19</v>
      </c>
      <c r="J26" s="9" t="s">
        <v>967</v>
      </c>
      <c r="K26" s="9">
        <v>1062.5999999999999</v>
      </c>
      <c r="L26" s="9">
        <v>35</v>
      </c>
      <c r="N26" t="str">
        <f t="shared" ref="N26:N80" si="4">I26</f>
        <v>California</v>
      </c>
      <c r="O26" t="str">
        <f t="shared" ref="O26:O80" si="5">J26</f>
        <v>Butte County</v>
      </c>
      <c r="P26">
        <f t="shared" ref="P26:P80" si="6">K26</f>
        <v>1062.5999999999999</v>
      </c>
      <c r="S26" t="str">
        <f t="shared" si="1"/>
        <v>California</v>
      </c>
      <c r="T26" t="str">
        <f t="shared" si="2"/>
        <v>Butte County</v>
      </c>
      <c r="U26">
        <f t="shared" si="3"/>
        <v>35</v>
      </c>
    </row>
    <row r="27" spans="1:21" x14ac:dyDescent="0.3">
      <c r="C27" s="9" t="s">
        <v>37</v>
      </c>
      <c r="D27" s="9">
        <v>296</v>
      </c>
      <c r="E27" s="9">
        <v>275</v>
      </c>
      <c r="F27" s="9">
        <v>9</v>
      </c>
      <c r="G27" s="9">
        <v>23</v>
      </c>
      <c r="I27" s="9" t="s">
        <v>19</v>
      </c>
      <c r="J27" s="9" t="s">
        <v>84</v>
      </c>
      <c r="K27" s="9">
        <v>326.20000000000005</v>
      </c>
      <c r="L27" s="9">
        <v>12</v>
      </c>
      <c r="N27" t="str">
        <f t="shared" si="4"/>
        <v>California</v>
      </c>
      <c r="O27" t="str">
        <f t="shared" si="5"/>
        <v>Calaveras County</v>
      </c>
      <c r="P27">
        <f t="shared" si="6"/>
        <v>326.20000000000005</v>
      </c>
      <c r="S27" t="str">
        <f t="shared" si="1"/>
        <v>California</v>
      </c>
      <c r="T27" t="str">
        <f t="shared" si="2"/>
        <v>Calaveras County</v>
      </c>
      <c r="U27">
        <f t="shared" si="3"/>
        <v>12</v>
      </c>
    </row>
    <row r="28" spans="1:21" x14ac:dyDescent="0.3">
      <c r="C28" s="9" t="s">
        <v>16</v>
      </c>
      <c r="D28" s="9">
        <v>428</v>
      </c>
      <c r="E28" s="9">
        <v>293</v>
      </c>
      <c r="F28" s="9"/>
      <c r="G28" s="9">
        <v>24</v>
      </c>
      <c r="I28" s="9" t="s">
        <v>19</v>
      </c>
      <c r="J28" s="9" t="s">
        <v>1383</v>
      </c>
      <c r="K28" s="9">
        <v>167.5</v>
      </c>
      <c r="L28" s="9">
        <v>4</v>
      </c>
      <c r="N28" t="str">
        <f t="shared" si="4"/>
        <v>California</v>
      </c>
      <c r="O28" t="str">
        <f t="shared" si="5"/>
        <v>Colusa County</v>
      </c>
      <c r="P28">
        <f t="shared" si="6"/>
        <v>167.5</v>
      </c>
      <c r="S28" t="str">
        <f t="shared" si="1"/>
        <v>California</v>
      </c>
      <c r="T28" t="str">
        <f t="shared" si="2"/>
        <v>Colusa County</v>
      </c>
      <c r="U28">
        <f t="shared" si="3"/>
        <v>4</v>
      </c>
    </row>
    <row r="29" spans="1:21" x14ac:dyDescent="0.3">
      <c r="C29" s="9" t="s">
        <v>26</v>
      </c>
      <c r="D29" s="9">
        <v>627</v>
      </c>
      <c r="E29" s="9">
        <v>393</v>
      </c>
      <c r="F29" s="9">
        <v>29</v>
      </c>
      <c r="G29" s="9">
        <v>137</v>
      </c>
      <c r="I29" s="9" t="s">
        <v>19</v>
      </c>
      <c r="J29" s="9" t="s">
        <v>24</v>
      </c>
      <c r="K29" s="9">
        <v>16168.7</v>
      </c>
      <c r="L29" s="9">
        <v>341</v>
      </c>
      <c r="N29" t="str">
        <f t="shared" si="4"/>
        <v>California</v>
      </c>
      <c r="O29" t="str">
        <f t="shared" si="5"/>
        <v>Contra Costa County</v>
      </c>
      <c r="P29">
        <f t="shared" si="6"/>
        <v>16168.7</v>
      </c>
      <c r="S29" t="str">
        <f t="shared" si="1"/>
        <v>California</v>
      </c>
      <c r="T29" t="str">
        <f t="shared" si="2"/>
        <v>Contra Costa County</v>
      </c>
      <c r="U29">
        <f t="shared" si="3"/>
        <v>341</v>
      </c>
    </row>
    <row r="30" spans="1:21" x14ac:dyDescent="0.3">
      <c r="C30" s="9" t="s">
        <v>46</v>
      </c>
      <c r="D30" s="9">
        <v>445</v>
      </c>
      <c r="E30" s="9">
        <v>202</v>
      </c>
      <c r="F30" s="9">
        <v>14</v>
      </c>
      <c r="G30" s="9">
        <v>39</v>
      </c>
      <c r="I30" s="9" t="s">
        <v>19</v>
      </c>
      <c r="J30" s="9" t="s">
        <v>2204</v>
      </c>
      <c r="K30" s="9">
        <v>322.40000000000003</v>
      </c>
      <c r="L30" s="9">
        <v>13</v>
      </c>
      <c r="N30" t="str">
        <f t="shared" si="4"/>
        <v>California</v>
      </c>
      <c r="O30" t="str">
        <f t="shared" si="5"/>
        <v>Del Norte County</v>
      </c>
      <c r="P30">
        <f t="shared" si="6"/>
        <v>322.40000000000003</v>
      </c>
      <c r="S30" t="str">
        <f t="shared" si="1"/>
        <v>California</v>
      </c>
      <c r="T30" t="str">
        <f t="shared" si="2"/>
        <v>Del Norte County</v>
      </c>
      <c r="U30">
        <f t="shared" si="3"/>
        <v>13</v>
      </c>
    </row>
    <row r="31" spans="1:21" x14ac:dyDescent="0.3">
      <c r="C31" s="9" t="s">
        <v>128</v>
      </c>
      <c r="D31" s="9">
        <v>99</v>
      </c>
      <c r="E31" s="9">
        <v>69</v>
      </c>
      <c r="F31" s="9">
        <v>3</v>
      </c>
      <c r="G31" s="9">
        <v>24</v>
      </c>
      <c r="I31" s="9" t="s">
        <v>19</v>
      </c>
      <c r="J31" s="9" t="s">
        <v>437</v>
      </c>
      <c r="K31" s="9">
        <v>2092.8000000000002</v>
      </c>
      <c r="L31" s="9">
        <v>31</v>
      </c>
      <c r="N31" t="str">
        <f t="shared" si="4"/>
        <v>California</v>
      </c>
      <c r="O31" t="str">
        <f t="shared" si="5"/>
        <v>El Dorado County</v>
      </c>
      <c r="P31">
        <f t="shared" si="6"/>
        <v>2092.8000000000002</v>
      </c>
      <c r="S31" t="str">
        <f t="shared" si="1"/>
        <v>California</v>
      </c>
      <c r="T31" t="str">
        <f t="shared" si="2"/>
        <v>El Dorado County</v>
      </c>
      <c r="U31">
        <f t="shared" si="3"/>
        <v>31</v>
      </c>
    </row>
    <row r="32" spans="1:21" x14ac:dyDescent="0.3">
      <c r="C32" s="9" t="s">
        <v>22</v>
      </c>
      <c r="D32" s="9">
        <v>568</v>
      </c>
      <c r="E32" s="9">
        <v>306</v>
      </c>
      <c r="F32" s="9">
        <v>22</v>
      </c>
      <c r="G32" s="9">
        <v>16</v>
      </c>
      <c r="I32" s="9" t="s">
        <v>19</v>
      </c>
      <c r="J32" s="9" t="s">
        <v>28</v>
      </c>
      <c r="K32" s="9">
        <v>12662.500000000002</v>
      </c>
      <c r="L32" s="9">
        <v>279</v>
      </c>
      <c r="N32" t="str">
        <f t="shared" si="4"/>
        <v>California</v>
      </c>
      <c r="O32" t="str">
        <f t="shared" si="5"/>
        <v>Fresno County</v>
      </c>
      <c r="P32">
        <f t="shared" si="6"/>
        <v>12662.500000000002</v>
      </c>
      <c r="S32" t="str">
        <f t="shared" si="1"/>
        <v>California</v>
      </c>
      <c r="T32" t="str">
        <f t="shared" si="2"/>
        <v>Fresno County</v>
      </c>
      <c r="U32">
        <f t="shared" si="3"/>
        <v>279</v>
      </c>
    </row>
    <row r="33" spans="3:21" x14ac:dyDescent="0.3">
      <c r="C33" s="9" t="s">
        <v>76</v>
      </c>
      <c r="D33" s="9">
        <v>75</v>
      </c>
      <c r="E33" s="9">
        <v>103</v>
      </c>
      <c r="F33" s="9">
        <v>4</v>
      </c>
      <c r="G33" s="9">
        <v>6</v>
      </c>
      <c r="I33" s="9" t="s">
        <v>19</v>
      </c>
      <c r="J33" s="9" t="s">
        <v>208</v>
      </c>
      <c r="K33" s="9">
        <v>343.2</v>
      </c>
      <c r="L33" s="9">
        <v>9</v>
      </c>
      <c r="N33" t="str">
        <f t="shared" si="4"/>
        <v>California</v>
      </c>
      <c r="O33" t="str">
        <f t="shared" si="5"/>
        <v>Glenn County</v>
      </c>
      <c r="P33">
        <f t="shared" si="6"/>
        <v>343.2</v>
      </c>
      <c r="S33" t="str">
        <f t="shared" ref="S33:S80" si="7">I33</f>
        <v>California</v>
      </c>
      <c r="T33" t="str">
        <f t="shared" ref="T33:T80" si="8">J33</f>
        <v>Glenn County</v>
      </c>
      <c r="U33">
        <f t="shared" si="3"/>
        <v>9</v>
      </c>
    </row>
    <row r="34" spans="3:21" x14ac:dyDescent="0.3">
      <c r="C34" s="9" t="s">
        <v>44</v>
      </c>
      <c r="D34" s="9">
        <v>744</v>
      </c>
      <c r="E34" s="9">
        <v>713</v>
      </c>
      <c r="F34" s="9">
        <v>90</v>
      </c>
      <c r="G34" s="9">
        <v>98</v>
      </c>
      <c r="I34" s="9" t="s">
        <v>19</v>
      </c>
      <c r="J34" s="9" t="s">
        <v>587</v>
      </c>
      <c r="K34" s="9">
        <v>2188.2999999999997</v>
      </c>
      <c r="L34" s="9">
        <v>49</v>
      </c>
      <c r="N34" t="str">
        <f t="shared" si="4"/>
        <v>California</v>
      </c>
      <c r="O34" t="str">
        <f t="shared" si="5"/>
        <v>Humboldt County</v>
      </c>
      <c r="P34">
        <f t="shared" si="6"/>
        <v>2188.2999999999997</v>
      </c>
      <c r="S34" t="str">
        <f t="shared" si="7"/>
        <v>California</v>
      </c>
      <c r="T34" t="str">
        <f t="shared" si="8"/>
        <v>Humboldt County</v>
      </c>
      <c r="U34">
        <f t="shared" si="3"/>
        <v>49</v>
      </c>
    </row>
    <row r="35" spans="3:21" x14ac:dyDescent="0.3">
      <c r="C35" s="9" t="s">
        <v>30</v>
      </c>
      <c r="D35" s="9">
        <v>146</v>
      </c>
      <c r="E35" s="9">
        <v>94</v>
      </c>
      <c r="F35" s="9">
        <v>4</v>
      </c>
      <c r="G35" s="9">
        <v>28</v>
      </c>
      <c r="I35" s="9" t="s">
        <v>19</v>
      </c>
      <c r="J35" s="9" t="s">
        <v>331</v>
      </c>
      <c r="K35" s="9">
        <v>2661.5999999999995</v>
      </c>
      <c r="L35" s="9">
        <v>59</v>
      </c>
      <c r="N35" t="str">
        <f t="shared" si="4"/>
        <v>California</v>
      </c>
      <c r="O35" t="str">
        <f t="shared" si="5"/>
        <v>Imperial County</v>
      </c>
      <c r="P35">
        <f t="shared" si="6"/>
        <v>2661.5999999999995</v>
      </c>
      <c r="S35" t="str">
        <f t="shared" si="7"/>
        <v>California</v>
      </c>
      <c r="T35" t="str">
        <f t="shared" si="8"/>
        <v>Imperial County</v>
      </c>
      <c r="U35">
        <f t="shared" si="3"/>
        <v>59</v>
      </c>
    </row>
    <row r="36" spans="3:21" x14ac:dyDescent="0.3">
      <c r="I36" s="9" t="s">
        <v>19</v>
      </c>
      <c r="J36" s="9" t="s">
        <v>86</v>
      </c>
      <c r="K36" s="9">
        <v>887.5</v>
      </c>
      <c r="L36" s="9">
        <v>8</v>
      </c>
      <c r="N36" t="str">
        <f t="shared" si="4"/>
        <v>California</v>
      </c>
      <c r="O36" t="str">
        <f t="shared" si="5"/>
        <v>Inyo County</v>
      </c>
      <c r="P36">
        <f t="shared" si="6"/>
        <v>887.5</v>
      </c>
      <c r="S36" t="str">
        <f t="shared" si="7"/>
        <v>California</v>
      </c>
      <c r="T36" t="str">
        <f t="shared" si="8"/>
        <v>Inyo County</v>
      </c>
      <c r="U36">
        <f t="shared" si="3"/>
        <v>8</v>
      </c>
    </row>
    <row r="37" spans="3:21" x14ac:dyDescent="0.3">
      <c r="I37" s="9" t="s">
        <v>19</v>
      </c>
      <c r="J37" s="9" t="s">
        <v>147</v>
      </c>
      <c r="K37" s="9">
        <v>11354.199999999993</v>
      </c>
      <c r="L37" s="9">
        <v>222</v>
      </c>
      <c r="N37" t="str">
        <f t="shared" si="4"/>
        <v>California</v>
      </c>
      <c r="O37" t="str">
        <f t="shared" si="5"/>
        <v>Kern County</v>
      </c>
      <c r="P37">
        <f t="shared" si="6"/>
        <v>11354.199999999993</v>
      </c>
      <c r="S37" t="str">
        <f t="shared" si="7"/>
        <v>California</v>
      </c>
      <c r="T37" t="str">
        <f t="shared" si="8"/>
        <v>Kern County</v>
      </c>
      <c r="U37">
        <f t="shared" si="3"/>
        <v>222</v>
      </c>
    </row>
    <row r="38" spans="3:21" x14ac:dyDescent="0.3">
      <c r="I38" s="9" t="s">
        <v>19</v>
      </c>
      <c r="J38" s="9" t="s">
        <v>334</v>
      </c>
      <c r="K38" s="9">
        <v>1558.4</v>
      </c>
      <c r="L38" s="9">
        <v>36</v>
      </c>
      <c r="N38" t="str">
        <f t="shared" si="4"/>
        <v>California</v>
      </c>
      <c r="O38" t="str">
        <f t="shared" si="5"/>
        <v>Kings County</v>
      </c>
      <c r="P38">
        <f t="shared" si="6"/>
        <v>1558.4</v>
      </c>
      <c r="S38" t="str">
        <f t="shared" si="7"/>
        <v>California</v>
      </c>
      <c r="T38" t="str">
        <f t="shared" si="8"/>
        <v>Kings County</v>
      </c>
      <c r="U38">
        <f t="shared" si="3"/>
        <v>36</v>
      </c>
    </row>
    <row r="39" spans="3:21" x14ac:dyDescent="0.3">
      <c r="I39" s="9" t="s">
        <v>19</v>
      </c>
      <c r="J39" s="9" t="s">
        <v>949</v>
      </c>
      <c r="K39" s="9">
        <v>2223.9</v>
      </c>
      <c r="L39" s="9">
        <v>30</v>
      </c>
      <c r="N39" t="str">
        <f t="shared" si="4"/>
        <v>California</v>
      </c>
      <c r="O39" t="str">
        <f t="shared" si="5"/>
        <v>Lake County</v>
      </c>
      <c r="P39">
        <f t="shared" si="6"/>
        <v>2223.9</v>
      </c>
      <c r="S39" t="str">
        <f t="shared" si="7"/>
        <v>California</v>
      </c>
      <c r="T39" t="str">
        <f t="shared" si="8"/>
        <v>Lake County</v>
      </c>
      <c r="U39">
        <f t="shared" si="3"/>
        <v>30</v>
      </c>
    </row>
    <row r="40" spans="3:21" x14ac:dyDescent="0.3">
      <c r="I40" s="9" t="s">
        <v>19</v>
      </c>
      <c r="J40" s="9" t="s">
        <v>1426</v>
      </c>
      <c r="K40" s="9">
        <v>26.2</v>
      </c>
      <c r="L40" s="9">
        <v>1</v>
      </c>
      <c r="N40" t="str">
        <f t="shared" si="4"/>
        <v>California</v>
      </c>
      <c r="O40" t="str">
        <f t="shared" si="5"/>
        <v>Lassen County</v>
      </c>
      <c r="P40">
        <f t="shared" si="6"/>
        <v>26.2</v>
      </c>
      <c r="S40" t="str">
        <f t="shared" si="7"/>
        <v>California</v>
      </c>
      <c r="T40" t="str">
        <f t="shared" si="8"/>
        <v>Lassen County</v>
      </c>
      <c r="U40">
        <f t="shared" si="3"/>
        <v>1</v>
      </c>
    </row>
    <row r="41" spans="3:21" x14ac:dyDescent="0.3">
      <c r="I41" s="9" t="s">
        <v>19</v>
      </c>
      <c r="J41" s="9" t="s">
        <v>33</v>
      </c>
      <c r="K41" s="9">
        <v>215551.19999999981</v>
      </c>
      <c r="L41" s="9">
        <v>3991</v>
      </c>
      <c r="N41" t="str">
        <f t="shared" si="4"/>
        <v>California</v>
      </c>
      <c r="O41" t="str">
        <f t="shared" si="5"/>
        <v>Los Angeles County</v>
      </c>
      <c r="P41">
        <f t="shared" si="6"/>
        <v>215551.19999999981</v>
      </c>
      <c r="S41" t="str">
        <f t="shared" si="7"/>
        <v>California</v>
      </c>
      <c r="T41" t="str">
        <f t="shared" si="8"/>
        <v>Los Angeles County</v>
      </c>
      <c r="U41">
        <f t="shared" si="3"/>
        <v>3991</v>
      </c>
    </row>
    <row r="42" spans="3:21" x14ac:dyDescent="0.3">
      <c r="I42" s="9" t="s">
        <v>19</v>
      </c>
      <c r="J42" s="9" t="s">
        <v>364</v>
      </c>
      <c r="K42" s="9">
        <v>2687.3999999999996</v>
      </c>
      <c r="L42" s="9">
        <v>45</v>
      </c>
      <c r="N42" t="str">
        <f t="shared" si="4"/>
        <v>California</v>
      </c>
      <c r="O42" t="str">
        <f t="shared" si="5"/>
        <v>Madera County</v>
      </c>
      <c r="P42">
        <f t="shared" si="6"/>
        <v>2687.3999999999996</v>
      </c>
      <c r="S42" t="str">
        <f t="shared" si="7"/>
        <v>California</v>
      </c>
      <c r="T42" t="str">
        <f t="shared" si="8"/>
        <v>Madera County</v>
      </c>
      <c r="U42">
        <f t="shared" si="3"/>
        <v>45</v>
      </c>
    </row>
    <row r="43" spans="3:21" x14ac:dyDescent="0.3">
      <c r="I43" s="9" t="s">
        <v>19</v>
      </c>
      <c r="J43" s="9" t="s">
        <v>545</v>
      </c>
      <c r="K43" s="9">
        <v>1463.3000000000002</v>
      </c>
      <c r="L43" s="9">
        <v>39</v>
      </c>
      <c r="N43" t="str">
        <f t="shared" si="4"/>
        <v>California</v>
      </c>
      <c r="O43" t="str">
        <f t="shared" si="5"/>
        <v>Marin County</v>
      </c>
      <c r="P43">
        <f t="shared" si="6"/>
        <v>1463.3000000000002</v>
      </c>
      <c r="S43" t="str">
        <f t="shared" si="7"/>
        <v>California</v>
      </c>
      <c r="T43" t="str">
        <f t="shared" si="8"/>
        <v>Marin County</v>
      </c>
      <c r="U43">
        <f t="shared" si="3"/>
        <v>39</v>
      </c>
    </row>
    <row r="44" spans="3:21" x14ac:dyDescent="0.3">
      <c r="I44" s="9" t="s">
        <v>19</v>
      </c>
      <c r="J44" s="9" t="s">
        <v>416</v>
      </c>
      <c r="K44" s="9">
        <v>445.79999999999995</v>
      </c>
      <c r="L44" s="9">
        <v>6</v>
      </c>
      <c r="N44" t="str">
        <f t="shared" si="4"/>
        <v>California</v>
      </c>
      <c r="O44" t="str">
        <f t="shared" si="5"/>
        <v>Mariposa County</v>
      </c>
      <c r="P44">
        <f t="shared" si="6"/>
        <v>445.79999999999995</v>
      </c>
      <c r="S44" t="str">
        <f t="shared" si="7"/>
        <v>California</v>
      </c>
      <c r="T44" t="str">
        <f t="shared" si="8"/>
        <v>Mariposa County</v>
      </c>
      <c r="U44">
        <f t="shared" si="3"/>
        <v>6</v>
      </c>
    </row>
    <row r="45" spans="3:21" x14ac:dyDescent="0.3">
      <c r="I45" s="9" t="s">
        <v>19</v>
      </c>
      <c r="J45" s="9" t="s">
        <v>258</v>
      </c>
      <c r="K45" s="9">
        <v>273.59999999999997</v>
      </c>
      <c r="L45" s="9">
        <v>9</v>
      </c>
      <c r="N45" t="str">
        <f t="shared" si="4"/>
        <v>California</v>
      </c>
      <c r="O45" t="str">
        <f t="shared" si="5"/>
        <v>Mendocino County</v>
      </c>
      <c r="P45">
        <f t="shared" si="6"/>
        <v>273.59999999999997</v>
      </c>
      <c r="S45" t="str">
        <f t="shared" si="7"/>
        <v>California</v>
      </c>
      <c r="T45" t="str">
        <f t="shared" si="8"/>
        <v>Mendocino County</v>
      </c>
      <c r="U45">
        <f t="shared" si="3"/>
        <v>9</v>
      </c>
    </row>
    <row r="46" spans="3:21" x14ac:dyDescent="0.3">
      <c r="I46" s="9" t="s">
        <v>19</v>
      </c>
      <c r="J46" s="9" t="s">
        <v>186</v>
      </c>
      <c r="K46" s="9">
        <v>2690.4</v>
      </c>
      <c r="L46" s="9">
        <v>60</v>
      </c>
      <c r="N46" t="str">
        <f t="shared" si="4"/>
        <v>California</v>
      </c>
      <c r="O46" t="str">
        <f t="shared" si="5"/>
        <v>Merced County</v>
      </c>
      <c r="P46">
        <f t="shared" si="6"/>
        <v>2690.4</v>
      </c>
      <c r="S46" t="str">
        <f t="shared" si="7"/>
        <v>California</v>
      </c>
      <c r="T46" t="str">
        <f t="shared" si="8"/>
        <v>Merced County</v>
      </c>
      <c r="U46">
        <f t="shared" si="3"/>
        <v>60</v>
      </c>
    </row>
    <row r="47" spans="3:21" x14ac:dyDescent="0.3">
      <c r="I47" s="9" t="s">
        <v>19</v>
      </c>
      <c r="J47" s="9" t="s">
        <v>392</v>
      </c>
      <c r="K47" s="9">
        <v>28.4</v>
      </c>
      <c r="L47" s="9">
        <v>2</v>
      </c>
      <c r="N47" t="str">
        <f t="shared" si="4"/>
        <v>California</v>
      </c>
      <c r="O47" t="str">
        <f t="shared" si="5"/>
        <v>Modoc County</v>
      </c>
      <c r="P47">
        <f t="shared" si="6"/>
        <v>28.4</v>
      </c>
      <c r="S47" t="str">
        <f t="shared" si="7"/>
        <v>California</v>
      </c>
      <c r="T47" t="str">
        <f t="shared" si="8"/>
        <v>Modoc County</v>
      </c>
      <c r="U47">
        <f t="shared" si="3"/>
        <v>2</v>
      </c>
    </row>
    <row r="48" spans="3:21" x14ac:dyDescent="0.3">
      <c r="I48" s="9" t="s">
        <v>19</v>
      </c>
      <c r="J48" s="9" t="s">
        <v>670</v>
      </c>
      <c r="K48" s="9">
        <v>204.8</v>
      </c>
      <c r="L48" s="9">
        <v>4</v>
      </c>
      <c r="N48" t="str">
        <f t="shared" si="4"/>
        <v>California</v>
      </c>
      <c r="O48" t="str">
        <f t="shared" si="5"/>
        <v>Mono County</v>
      </c>
      <c r="P48">
        <f t="shared" si="6"/>
        <v>204.8</v>
      </c>
      <c r="S48" t="str">
        <f t="shared" si="7"/>
        <v>California</v>
      </c>
      <c r="T48" t="str">
        <f t="shared" si="8"/>
        <v>Mono County</v>
      </c>
      <c r="U48">
        <f t="shared" si="3"/>
        <v>4</v>
      </c>
    </row>
    <row r="49" spans="9:21" x14ac:dyDescent="0.3">
      <c r="I49" s="9" t="s">
        <v>19</v>
      </c>
      <c r="J49" s="9" t="s">
        <v>802</v>
      </c>
      <c r="K49" s="9">
        <v>1607.8999999999999</v>
      </c>
      <c r="L49" s="9">
        <v>31</v>
      </c>
      <c r="N49" t="str">
        <f t="shared" si="4"/>
        <v>California</v>
      </c>
      <c r="O49" t="str">
        <f t="shared" si="5"/>
        <v>Monterey County</v>
      </c>
      <c r="P49">
        <f t="shared" si="6"/>
        <v>1607.8999999999999</v>
      </c>
      <c r="S49" t="str">
        <f t="shared" si="7"/>
        <v>California</v>
      </c>
      <c r="T49" t="str">
        <f t="shared" si="8"/>
        <v>Monterey County</v>
      </c>
      <c r="U49">
        <f t="shared" si="3"/>
        <v>31</v>
      </c>
    </row>
    <row r="50" spans="9:21" x14ac:dyDescent="0.3">
      <c r="I50" s="9" t="s">
        <v>19</v>
      </c>
      <c r="J50" s="9" t="s">
        <v>98</v>
      </c>
      <c r="K50" s="9">
        <v>6444.9</v>
      </c>
      <c r="L50" s="9">
        <v>88</v>
      </c>
      <c r="N50" t="str">
        <f t="shared" si="4"/>
        <v>California</v>
      </c>
      <c r="O50" t="str">
        <f t="shared" si="5"/>
        <v>Napa County</v>
      </c>
      <c r="P50">
        <f t="shared" si="6"/>
        <v>6444.9</v>
      </c>
      <c r="S50" t="str">
        <f t="shared" si="7"/>
        <v>California</v>
      </c>
      <c r="T50" t="str">
        <f t="shared" si="8"/>
        <v>Napa County</v>
      </c>
      <c r="U50">
        <f t="shared" si="3"/>
        <v>88</v>
      </c>
    </row>
    <row r="51" spans="9:21" x14ac:dyDescent="0.3">
      <c r="I51" s="9" t="s">
        <v>19</v>
      </c>
      <c r="J51" s="9" t="s">
        <v>49</v>
      </c>
      <c r="K51" s="9">
        <v>1809.3</v>
      </c>
      <c r="L51" s="9">
        <v>25</v>
      </c>
      <c r="N51" t="str">
        <f t="shared" si="4"/>
        <v>California</v>
      </c>
      <c r="O51" t="str">
        <f t="shared" si="5"/>
        <v>Nevada County</v>
      </c>
      <c r="P51">
        <f t="shared" si="6"/>
        <v>1809.3</v>
      </c>
      <c r="S51" t="str">
        <f t="shared" si="7"/>
        <v>California</v>
      </c>
      <c r="T51" t="str">
        <f t="shared" si="8"/>
        <v>Nevada County</v>
      </c>
      <c r="U51">
        <f t="shared" si="3"/>
        <v>25</v>
      </c>
    </row>
    <row r="52" spans="9:21" x14ac:dyDescent="0.3">
      <c r="I52" s="9" t="s">
        <v>19</v>
      </c>
      <c r="J52" s="9" t="s">
        <v>188</v>
      </c>
      <c r="K52" s="9">
        <v>9680.399999999996</v>
      </c>
      <c r="L52" s="9">
        <v>178</v>
      </c>
      <c r="N52" t="str">
        <f t="shared" si="4"/>
        <v>California</v>
      </c>
      <c r="O52" t="str">
        <f t="shared" si="5"/>
        <v>Orange County</v>
      </c>
      <c r="P52">
        <f t="shared" si="6"/>
        <v>9680.399999999996</v>
      </c>
      <c r="S52" t="str">
        <f t="shared" si="7"/>
        <v>California</v>
      </c>
      <c r="T52" t="str">
        <f t="shared" si="8"/>
        <v>Orange County</v>
      </c>
      <c r="U52">
        <f t="shared" si="3"/>
        <v>178</v>
      </c>
    </row>
    <row r="53" spans="9:21" x14ac:dyDescent="0.3">
      <c r="I53" s="9" t="s">
        <v>19</v>
      </c>
      <c r="J53" s="9" t="s">
        <v>52</v>
      </c>
      <c r="K53" s="9">
        <v>9414.7999999999993</v>
      </c>
      <c r="L53" s="9">
        <v>141</v>
      </c>
      <c r="N53" t="str">
        <f t="shared" si="4"/>
        <v>California</v>
      </c>
      <c r="O53" t="str">
        <f t="shared" si="5"/>
        <v>Placer County</v>
      </c>
      <c r="P53">
        <f t="shared" si="6"/>
        <v>9414.7999999999993</v>
      </c>
      <c r="S53" t="str">
        <f t="shared" si="7"/>
        <v>California</v>
      </c>
      <c r="T53" t="str">
        <f t="shared" si="8"/>
        <v>Placer County</v>
      </c>
      <c r="U53">
        <f t="shared" si="3"/>
        <v>141</v>
      </c>
    </row>
    <row r="54" spans="9:21" x14ac:dyDescent="0.3">
      <c r="I54" s="9" t="s">
        <v>19</v>
      </c>
      <c r="J54" s="9" t="s">
        <v>338</v>
      </c>
      <c r="K54" s="9">
        <v>206.1</v>
      </c>
      <c r="L54" s="9">
        <v>6</v>
      </c>
      <c r="N54" t="str">
        <f t="shared" si="4"/>
        <v>California</v>
      </c>
      <c r="O54" t="str">
        <f t="shared" si="5"/>
        <v>Plumas County</v>
      </c>
      <c r="P54">
        <f t="shared" si="6"/>
        <v>206.1</v>
      </c>
      <c r="S54" t="str">
        <f t="shared" si="7"/>
        <v>California</v>
      </c>
      <c r="T54" t="str">
        <f t="shared" si="8"/>
        <v>Plumas County</v>
      </c>
      <c r="U54">
        <f t="shared" si="3"/>
        <v>6</v>
      </c>
    </row>
    <row r="55" spans="9:21" x14ac:dyDescent="0.3">
      <c r="I55" s="9" t="s">
        <v>19</v>
      </c>
      <c r="J55" s="9" t="s">
        <v>158</v>
      </c>
      <c r="K55" s="9">
        <v>7691.3</v>
      </c>
      <c r="L55" s="9">
        <v>178</v>
      </c>
      <c r="N55" t="str">
        <f t="shared" si="4"/>
        <v>California</v>
      </c>
      <c r="O55" t="str">
        <f t="shared" si="5"/>
        <v>Riverside County</v>
      </c>
      <c r="P55">
        <f t="shared" si="6"/>
        <v>7691.3</v>
      </c>
      <c r="S55" t="str">
        <f t="shared" si="7"/>
        <v>California</v>
      </c>
      <c r="T55" t="str">
        <f t="shared" si="8"/>
        <v>Riverside County</v>
      </c>
      <c r="U55">
        <f t="shared" si="3"/>
        <v>178</v>
      </c>
    </row>
    <row r="56" spans="9:21" x14ac:dyDescent="0.3">
      <c r="I56" s="9" t="s">
        <v>19</v>
      </c>
      <c r="J56" s="9" t="s">
        <v>55</v>
      </c>
      <c r="K56" s="9">
        <v>37784.900000000016</v>
      </c>
      <c r="L56" s="9">
        <v>699</v>
      </c>
      <c r="N56" t="str">
        <f t="shared" si="4"/>
        <v>California</v>
      </c>
      <c r="O56" t="str">
        <f t="shared" si="5"/>
        <v>Sacramento County</v>
      </c>
      <c r="P56">
        <f t="shared" si="6"/>
        <v>37784.900000000016</v>
      </c>
      <c r="S56" t="str">
        <f t="shared" si="7"/>
        <v>California</v>
      </c>
      <c r="T56" t="str">
        <f t="shared" si="8"/>
        <v>Sacramento County</v>
      </c>
      <c r="U56">
        <f t="shared" si="3"/>
        <v>699</v>
      </c>
    </row>
    <row r="57" spans="9:21" x14ac:dyDescent="0.3">
      <c r="I57" s="9" t="s">
        <v>19</v>
      </c>
      <c r="J57" s="9" t="s">
        <v>342</v>
      </c>
      <c r="K57" s="9">
        <v>1129.7</v>
      </c>
      <c r="L57" s="9">
        <v>23</v>
      </c>
      <c r="N57" t="str">
        <f t="shared" si="4"/>
        <v>California</v>
      </c>
      <c r="O57" t="str">
        <f t="shared" si="5"/>
        <v>San Benito County</v>
      </c>
      <c r="P57">
        <f t="shared" si="6"/>
        <v>1129.7</v>
      </c>
      <c r="S57" t="str">
        <f t="shared" si="7"/>
        <v>California</v>
      </c>
      <c r="T57" t="str">
        <f t="shared" si="8"/>
        <v>San Benito County</v>
      </c>
      <c r="U57">
        <f t="shared" si="3"/>
        <v>23</v>
      </c>
    </row>
    <row r="58" spans="9:21" x14ac:dyDescent="0.3">
      <c r="I58" s="9" t="s">
        <v>19</v>
      </c>
      <c r="J58" s="9" t="s">
        <v>59</v>
      </c>
      <c r="K58" s="9">
        <v>20988.9</v>
      </c>
      <c r="L58" s="9">
        <v>356</v>
      </c>
      <c r="N58" t="str">
        <f t="shared" si="4"/>
        <v>California</v>
      </c>
      <c r="O58" t="str">
        <f t="shared" si="5"/>
        <v>San Bernardino County</v>
      </c>
      <c r="P58">
        <f t="shared" si="6"/>
        <v>20988.9</v>
      </c>
      <c r="S58" t="str">
        <f t="shared" si="7"/>
        <v>California</v>
      </c>
      <c r="T58" t="str">
        <f t="shared" si="8"/>
        <v>San Bernardino County</v>
      </c>
      <c r="U58">
        <f t="shared" si="3"/>
        <v>356</v>
      </c>
    </row>
    <row r="59" spans="9:21" x14ac:dyDescent="0.3">
      <c r="I59" s="9" t="s">
        <v>19</v>
      </c>
      <c r="J59" s="9" t="s">
        <v>62</v>
      </c>
      <c r="K59" s="9">
        <v>98367.099999999977</v>
      </c>
      <c r="L59" s="9">
        <v>1768</v>
      </c>
      <c r="N59" t="str">
        <f t="shared" si="4"/>
        <v>California</v>
      </c>
      <c r="O59" t="str">
        <f t="shared" si="5"/>
        <v>San Diego County</v>
      </c>
      <c r="P59">
        <f t="shared" si="6"/>
        <v>98367.099999999977</v>
      </c>
      <c r="S59" t="str">
        <f t="shared" si="7"/>
        <v>California</v>
      </c>
      <c r="T59" t="str">
        <f t="shared" si="8"/>
        <v>San Diego County</v>
      </c>
      <c r="U59">
        <f t="shared" si="3"/>
        <v>1768</v>
      </c>
    </row>
    <row r="60" spans="9:21" x14ac:dyDescent="0.3">
      <c r="I60" s="9" t="s">
        <v>19</v>
      </c>
      <c r="J60" s="9" t="s">
        <v>103</v>
      </c>
      <c r="K60" s="9">
        <v>21911.9</v>
      </c>
      <c r="L60" s="9">
        <v>307</v>
      </c>
      <c r="N60" t="str">
        <f t="shared" si="4"/>
        <v>California</v>
      </c>
      <c r="O60" t="str">
        <f t="shared" si="5"/>
        <v>San Francisco</v>
      </c>
      <c r="P60">
        <f t="shared" si="6"/>
        <v>21911.9</v>
      </c>
      <c r="S60" t="str">
        <f t="shared" si="7"/>
        <v>California</v>
      </c>
      <c r="T60" t="str">
        <f t="shared" si="8"/>
        <v>San Francisco</v>
      </c>
      <c r="U60">
        <f t="shared" si="3"/>
        <v>307</v>
      </c>
    </row>
    <row r="61" spans="9:21" x14ac:dyDescent="0.3">
      <c r="I61" s="9" t="s">
        <v>19</v>
      </c>
      <c r="J61" s="9" t="s">
        <v>201</v>
      </c>
      <c r="K61" s="9">
        <v>5441.2</v>
      </c>
      <c r="L61" s="9">
        <v>117</v>
      </c>
      <c r="N61" t="str">
        <f t="shared" si="4"/>
        <v>California</v>
      </c>
      <c r="O61" t="str">
        <f t="shared" si="5"/>
        <v>San Joaquin County</v>
      </c>
      <c r="P61">
        <f t="shared" si="6"/>
        <v>5441.2</v>
      </c>
      <c r="S61" t="str">
        <f t="shared" si="7"/>
        <v>California</v>
      </c>
      <c r="T61" t="str">
        <f t="shared" si="8"/>
        <v>San Joaquin County</v>
      </c>
      <c r="U61">
        <f t="shared" si="3"/>
        <v>117</v>
      </c>
    </row>
    <row r="62" spans="9:21" x14ac:dyDescent="0.3">
      <c r="I62" s="9" t="s">
        <v>19</v>
      </c>
      <c r="J62" s="9" t="s">
        <v>429</v>
      </c>
      <c r="K62" s="9">
        <v>392.8</v>
      </c>
      <c r="L62" s="9">
        <v>13</v>
      </c>
      <c r="N62" t="str">
        <f t="shared" si="4"/>
        <v>California</v>
      </c>
      <c r="O62" t="str">
        <f t="shared" si="5"/>
        <v>San Luis Obispo County</v>
      </c>
      <c r="P62">
        <f t="shared" si="6"/>
        <v>392.8</v>
      </c>
      <c r="S62" t="str">
        <f t="shared" si="7"/>
        <v>California</v>
      </c>
      <c r="T62" t="str">
        <f t="shared" si="8"/>
        <v>San Luis Obispo County</v>
      </c>
      <c r="U62">
        <f t="shared" si="3"/>
        <v>13</v>
      </c>
    </row>
    <row r="63" spans="9:21" x14ac:dyDescent="0.3">
      <c r="I63" s="9" t="s">
        <v>19</v>
      </c>
      <c r="J63" s="9" t="s">
        <v>72</v>
      </c>
      <c r="K63" s="9">
        <v>16172.000000000005</v>
      </c>
      <c r="L63" s="9">
        <v>364</v>
      </c>
      <c r="N63" t="str">
        <f t="shared" si="4"/>
        <v>California</v>
      </c>
      <c r="O63" t="str">
        <f t="shared" si="5"/>
        <v>San Mateo County</v>
      </c>
      <c r="P63">
        <f t="shared" si="6"/>
        <v>16172.000000000005</v>
      </c>
      <c r="S63" t="str">
        <f t="shared" si="7"/>
        <v>California</v>
      </c>
      <c r="T63" t="str">
        <f t="shared" si="8"/>
        <v>San Mateo County</v>
      </c>
      <c r="U63">
        <f t="shared" si="3"/>
        <v>364</v>
      </c>
    </row>
    <row r="64" spans="9:21" x14ac:dyDescent="0.3">
      <c r="I64" s="9" t="s">
        <v>19</v>
      </c>
      <c r="J64" s="9" t="s">
        <v>74</v>
      </c>
      <c r="K64" s="9">
        <v>4334.9999999999991</v>
      </c>
      <c r="L64" s="9">
        <v>95</v>
      </c>
      <c r="N64" t="str">
        <f t="shared" si="4"/>
        <v>California</v>
      </c>
      <c r="O64" t="str">
        <f t="shared" si="5"/>
        <v>Santa Barbara County</v>
      </c>
      <c r="P64">
        <f t="shared" si="6"/>
        <v>4334.9999999999991</v>
      </c>
      <c r="S64" t="str">
        <f t="shared" si="7"/>
        <v>California</v>
      </c>
      <c r="T64" t="str">
        <f t="shared" si="8"/>
        <v>Santa Barbara County</v>
      </c>
      <c r="U64">
        <f t="shared" si="3"/>
        <v>95</v>
      </c>
    </row>
    <row r="65" spans="9:21" x14ac:dyDescent="0.3">
      <c r="I65" s="9" t="s">
        <v>19</v>
      </c>
      <c r="J65" s="9" t="s">
        <v>77</v>
      </c>
      <c r="K65" s="9">
        <v>37449.000000000007</v>
      </c>
      <c r="L65" s="9">
        <v>737</v>
      </c>
      <c r="N65" t="str">
        <f t="shared" si="4"/>
        <v>California</v>
      </c>
      <c r="O65" t="str">
        <f t="shared" si="5"/>
        <v>Santa Clara County</v>
      </c>
      <c r="P65">
        <f t="shared" si="6"/>
        <v>37449.000000000007</v>
      </c>
      <c r="S65" t="str">
        <f t="shared" si="7"/>
        <v>California</v>
      </c>
      <c r="T65" t="str">
        <f t="shared" si="8"/>
        <v>Santa Clara County</v>
      </c>
      <c r="U65">
        <f t="shared" si="3"/>
        <v>737</v>
      </c>
    </row>
    <row r="66" spans="9:21" x14ac:dyDescent="0.3">
      <c r="I66" s="9" t="s">
        <v>19</v>
      </c>
      <c r="J66" s="9" t="s">
        <v>309</v>
      </c>
      <c r="K66" s="9">
        <v>2447.5</v>
      </c>
      <c r="L66" s="9">
        <v>39</v>
      </c>
      <c r="N66" t="str">
        <f t="shared" si="4"/>
        <v>California</v>
      </c>
      <c r="O66" t="str">
        <f t="shared" si="5"/>
        <v>Santa Cruz County</v>
      </c>
      <c r="P66">
        <f t="shared" si="6"/>
        <v>2447.5</v>
      </c>
      <c r="S66" t="str">
        <f t="shared" si="7"/>
        <v>California</v>
      </c>
      <c r="T66" t="str">
        <f t="shared" si="8"/>
        <v>Santa Cruz County</v>
      </c>
      <c r="U66">
        <f t="shared" si="3"/>
        <v>39</v>
      </c>
    </row>
    <row r="67" spans="9:21" x14ac:dyDescent="0.3">
      <c r="I67" s="9" t="s">
        <v>19</v>
      </c>
      <c r="J67" s="9" t="s">
        <v>1116</v>
      </c>
      <c r="K67" s="9">
        <v>3391.1</v>
      </c>
      <c r="L67" s="9">
        <v>56</v>
      </c>
      <c r="N67" t="str">
        <f t="shared" si="4"/>
        <v>California</v>
      </c>
      <c r="O67" t="str">
        <f t="shared" si="5"/>
        <v>Shasta County</v>
      </c>
      <c r="P67">
        <f t="shared" si="6"/>
        <v>3391.1</v>
      </c>
      <c r="S67" t="str">
        <f t="shared" si="7"/>
        <v>California</v>
      </c>
      <c r="T67" t="str">
        <f t="shared" si="8"/>
        <v>Shasta County</v>
      </c>
      <c r="U67">
        <f t="shared" si="3"/>
        <v>56</v>
      </c>
    </row>
    <row r="68" spans="9:21" x14ac:dyDescent="0.3">
      <c r="I68" s="9" t="s">
        <v>19</v>
      </c>
      <c r="J68" s="9" t="s">
        <v>700</v>
      </c>
      <c r="K68" s="9">
        <v>30.8</v>
      </c>
      <c r="L68" s="9">
        <v>2</v>
      </c>
      <c r="N68" t="str">
        <f t="shared" si="4"/>
        <v>California</v>
      </c>
      <c r="O68" t="str">
        <f t="shared" si="5"/>
        <v>Sierra County</v>
      </c>
      <c r="P68">
        <f t="shared" si="6"/>
        <v>30.8</v>
      </c>
      <c r="S68" t="str">
        <f t="shared" si="7"/>
        <v>California</v>
      </c>
      <c r="T68" t="str">
        <f t="shared" si="8"/>
        <v>Sierra County</v>
      </c>
      <c r="U68">
        <f t="shared" si="3"/>
        <v>2</v>
      </c>
    </row>
    <row r="69" spans="9:21" x14ac:dyDescent="0.3">
      <c r="I69" s="9" t="s">
        <v>19</v>
      </c>
      <c r="J69" s="9" t="s">
        <v>268</v>
      </c>
      <c r="K69" s="9">
        <v>332.3</v>
      </c>
      <c r="L69" s="9">
        <v>8</v>
      </c>
      <c r="N69" t="str">
        <f t="shared" si="4"/>
        <v>California</v>
      </c>
      <c r="O69" t="str">
        <f t="shared" si="5"/>
        <v>Siskiyou County</v>
      </c>
      <c r="P69">
        <f t="shared" si="6"/>
        <v>332.3</v>
      </c>
      <c r="S69" t="str">
        <f t="shared" si="7"/>
        <v>California</v>
      </c>
      <c r="T69" t="str">
        <f t="shared" si="8"/>
        <v>Siskiyou County</v>
      </c>
      <c r="U69">
        <f t="shared" si="3"/>
        <v>8</v>
      </c>
    </row>
    <row r="70" spans="9:21" x14ac:dyDescent="0.3">
      <c r="I70" s="9" t="s">
        <v>19</v>
      </c>
      <c r="J70" s="9" t="s">
        <v>377</v>
      </c>
      <c r="K70" s="9">
        <v>3175.9999999999995</v>
      </c>
      <c r="L70" s="9">
        <v>52</v>
      </c>
      <c r="N70" t="str">
        <f t="shared" si="4"/>
        <v>California</v>
      </c>
      <c r="O70" t="str">
        <f t="shared" si="5"/>
        <v>Solano County</v>
      </c>
      <c r="P70">
        <f t="shared" si="6"/>
        <v>3175.9999999999995</v>
      </c>
      <c r="S70" t="str">
        <f t="shared" si="7"/>
        <v>California</v>
      </c>
      <c r="T70" t="str">
        <f t="shared" si="8"/>
        <v>Solano County</v>
      </c>
      <c r="U70">
        <f t="shared" si="3"/>
        <v>52</v>
      </c>
    </row>
    <row r="71" spans="9:21" x14ac:dyDescent="0.3">
      <c r="I71" s="9" t="s">
        <v>19</v>
      </c>
      <c r="J71" s="9" t="s">
        <v>108</v>
      </c>
      <c r="K71" s="9">
        <v>20939.600000000002</v>
      </c>
      <c r="L71" s="9">
        <v>295</v>
      </c>
      <c r="N71" t="str">
        <f t="shared" si="4"/>
        <v>California</v>
      </c>
      <c r="O71" t="str">
        <f t="shared" si="5"/>
        <v>Sonoma County</v>
      </c>
      <c r="P71">
        <f t="shared" si="6"/>
        <v>20939.600000000002</v>
      </c>
      <c r="S71" t="str">
        <f t="shared" si="7"/>
        <v>California</v>
      </c>
      <c r="T71" t="str">
        <f t="shared" si="8"/>
        <v>Sonoma County</v>
      </c>
      <c r="U71">
        <f t="shared" si="3"/>
        <v>295</v>
      </c>
    </row>
    <row r="72" spans="9:21" x14ac:dyDescent="0.3">
      <c r="I72" s="9" t="s">
        <v>19</v>
      </c>
      <c r="J72" s="9" t="s">
        <v>110</v>
      </c>
      <c r="K72" s="9">
        <v>10185.899999999996</v>
      </c>
      <c r="L72" s="9">
        <v>195</v>
      </c>
      <c r="N72" t="str">
        <f t="shared" si="4"/>
        <v>California</v>
      </c>
      <c r="O72" t="str">
        <f t="shared" si="5"/>
        <v>Stanislaus County</v>
      </c>
      <c r="P72">
        <f t="shared" si="6"/>
        <v>10185.899999999996</v>
      </c>
      <c r="S72" t="str">
        <f t="shared" si="7"/>
        <v>California</v>
      </c>
      <c r="T72" t="str">
        <f t="shared" si="8"/>
        <v>Stanislaus County</v>
      </c>
      <c r="U72">
        <f t="shared" si="3"/>
        <v>195</v>
      </c>
    </row>
    <row r="73" spans="9:21" x14ac:dyDescent="0.3">
      <c r="I73" s="9" t="s">
        <v>19</v>
      </c>
      <c r="J73" s="9" t="s">
        <v>292</v>
      </c>
      <c r="K73" s="9">
        <v>958.7</v>
      </c>
      <c r="L73" s="9">
        <v>20</v>
      </c>
      <c r="N73" t="str">
        <f t="shared" si="4"/>
        <v>California</v>
      </c>
      <c r="O73" t="str">
        <f t="shared" si="5"/>
        <v>Sutter County</v>
      </c>
      <c r="P73">
        <f t="shared" si="6"/>
        <v>958.7</v>
      </c>
      <c r="S73" t="str">
        <f t="shared" si="7"/>
        <v>California</v>
      </c>
      <c r="T73" t="str">
        <f t="shared" si="8"/>
        <v>Sutter County</v>
      </c>
      <c r="U73">
        <f t="shared" si="3"/>
        <v>20</v>
      </c>
    </row>
    <row r="74" spans="9:21" x14ac:dyDescent="0.3">
      <c r="I74" s="9" t="s">
        <v>19</v>
      </c>
      <c r="J74" s="9" t="s">
        <v>79</v>
      </c>
      <c r="K74" s="9">
        <v>323</v>
      </c>
      <c r="L74" s="9">
        <v>6</v>
      </c>
      <c r="N74" t="str">
        <f t="shared" si="4"/>
        <v>California</v>
      </c>
      <c r="O74" t="str">
        <f t="shared" si="5"/>
        <v>Tehama County</v>
      </c>
      <c r="P74">
        <f t="shared" si="6"/>
        <v>323</v>
      </c>
      <c r="S74" t="str">
        <f t="shared" si="7"/>
        <v>California</v>
      </c>
      <c r="T74" t="str">
        <f t="shared" si="8"/>
        <v>Tehama County</v>
      </c>
      <c r="U74">
        <f t="shared" si="3"/>
        <v>6</v>
      </c>
    </row>
    <row r="75" spans="9:21" x14ac:dyDescent="0.3">
      <c r="I75" s="9" t="s">
        <v>19</v>
      </c>
      <c r="J75" s="9" t="s">
        <v>608</v>
      </c>
      <c r="K75" s="9">
        <v>167.70000000000002</v>
      </c>
      <c r="L75" s="9">
        <v>5</v>
      </c>
      <c r="N75" t="str">
        <f t="shared" si="4"/>
        <v>California</v>
      </c>
      <c r="O75" t="str">
        <f t="shared" si="5"/>
        <v>Trinity County</v>
      </c>
      <c r="P75">
        <f t="shared" si="6"/>
        <v>167.70000000000002</v>
      </c>
      <c r="S75" t="str">
        <f t="shared" si="7"/>
        <v>California</v>
      </c>
      <c r="T75" t="str">
        <f t="shared" si="8"/>
        <v>Trinity County</v>
      </c>
      <c r="U75">
        <f t="shared" si="3"/>
        <v>5</v>
      </c>
    </row>
    <row r="76" spans="9:21" x14ac:dyDescent="0.3">
      <c r="I76" s="9" t="s">
        <v>19</v>
      </c>
      <c r="J76" s="9" t="s">
        <v>113</v>
      </c>
      <c r="K76" s="9">
        <v>3978.5</v>
      </c>
      <c r="L76" s="9">
        <v>94</v>
      </c>
      <c r="N76" t="str">
        <f t="shared" si="4"/>
        <v>California</v>
      </c>
      <c r="O76" t="str">
        <f t="shared" si="5"/>
        <v>Tulare County</v>
      </c>
      <c r="P76">
        <f t="shared" si="6"/>
        <v>3978.5</v>
      </c>
      <c r="S76" t="str">
        <f t="shared" si="7"/>
        <v>California</v>
      </c>
      <c r="T76" t="str">
        <f t="shared" si="8"/>
        <v>Tulare County</v>
      </c>
      <c r="U76">
        <f t="shared" si="3"/>
        <v>94</v>
      </c>
    </row>
    <row r="77" spans="9:21" x14ac:dyDescent="0.3">
      <c r="I77" s="9" t="s">
        <v>19</v>
      </c>
      <c r="J77" s="9" t="s">
        <v>997</v>
      </c>
      <c r="K77" s="9">
        <v>1405</v>
      </c>
      <c r="L77" s="9">
        <v>28</v>
      </c>
      <c r="N77" t="str">
        <f t="shared" si="4"/>
        <v>California</v>
      </c>
      <c r="O77" t="str">
        <f t="shared" si="5"/>
        <v>Tuolumne County</v>
      </c>
      <c r="P77">
        <f t="shared" si="6"/>
        <v>1405</v>
      </c>
      <c r="S77" t="str">
        <f t="shared" si="7"/>
        <v>California</v>
      </c>
      <c r="T77" t="str">
        <f t="shared" si="8"/>
        <v>Tuolumne County</v>
      </c>
      <c r="U77">
        <f t="shared" si="3"/>
        <v>28</v>
      </c>
    </row>
    <row r="78" spans="9:21" x14ac:dyDescent="0.3">
      <c r="I78" s="9" t="s">
        <v>19</v>
      </c>
      <c r="J78" s="9" t="s">
        <v>82</v>
      </c>
      <c r="K78" s="9">
        <v>9869.0999999999985</v>
      </c>
      <c r="L78" s="9">
        <v>179</v>
      </c>
      <c r="N78" t="str">
        <f t="shared" si="4"/>
        <v>California</v>
      </c>
      <c r="O78" t="str">
        <f t="shared" si="5"/>
        <v>Ventura County</v>
      </c>
      <c r="P78">
        <f t="shared" si="6"/>
        <v>9869.0999999999985</v>
      </c>
      <c r="S78" t="str">
        <f t="shared" si="7"/>
        <v>California</v>
      </c>
      <c r="T78" t="str">
        <f t="shared" si="8"/>
        <v>Ventura County</v>
      </c>
      <c r="U78">
        <f t="shared" si="3"/>
        <v>179</v>
      </c>
    </row>
    <row r="79" spans="9:21" x14ac:dyDescent="0.3">
      <c r="I79" s="9" t="s">
        <v>19</v>
      </c>
      <c r="J79" s="9" t="s">
        <v>243</v>
      </c>
      <c r="K79" s="9">
        <v>615.29999999999995</v>
      </c>
      <c r="L79" s="9">
        <v>15</v>
      </c>
      <c r="N79" t="str">
        <f t="shared" si="4"/>
        <v>California</v>
      </c>
      <c r="O79" t="str">
        <f t="shared" si="5"/>
        <v>Yolo County</v>
      </c>
      <c r="P79">
        <f t="shared" si="6"/>
        <v>615.29999999999995</v>
      </c>
      <c r="S79" t="str">
        <f t="shared" si="7"/>
        <v>California</v>
      </c>
      <c r="T79" t="str">
        <f t="shared" si="8"/>
        <v>Yolo County</v>
      </c>
      <c r="U79">
        <f t="shared" si="3"/>
        <v>15</v>
      </c>
    </row>
    <row r="80" spans="9:21" x14ac:dyDescent="0.3">
      <c r="I80" s="9" t="s">
        <v>19</v>
      </c>
      <c r="J80" s="9" t="s">
        <v>1911</v>
      </c>
      <c r="K80" s="9">
        <v>285</v>
      </c>
      <c r="L80" s="9">
        <v>3</v>
      </c>
      <c r="N80" t="str">
        <f t="shared" si="4"/>
        <v>California</v>
      </c>
      <c r="O80" t="str">
        <f t="shared" si="5"/>
        <v>Yuba County</v>
      </c>
      <c r="P80">
        <f t="shared" si="6"/>
        <v>285</v>
      </c>
      <c r="S80" t="str">
        <f t="shared" si="7"/>
        <v>California</v>
      </c>
      <c r="T80" t="str">
        <f t="shared" si="8"/>
        <v>Yuba County</v>
      </c>
      <c r="U80">
        <f t="shared" si="3"/>
        <v>3</v>
      </c>
    </row>
  </sheetData>
  <conditionalFormatting sqref="H4:L9">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8A1E6-4F11-4F2E-88B8-966749679376}">
  <dimension ref="A1"/>
  <sheetViews>
    <sheetView showGridLines="0" tabSelected="1" zoomScale="70" zoomScaleNormal="70" workbookViewId="0">
      <selection activeCell="AC1" sqref="AC1"/>
    </sheetView>
  </sheetViews>
  <sheetFormatPr defaultRowHeight="14.4" x14ac:dyDescent="0.3"/>
  <cols>
    <col min="1" max="1" width="5.77734375" customWidth="1"/>
    <col min="2" max="2" width="28.21875" customWidth="1"/>
    <col min="3" max="3" width="5.77734375" customWidth="1"/>
  </cols>
  <sheetData>
    <row r="1" spans="1:1" x14ac:dyDescent="0.3">
      <c r="A1" t="e" cm="1">
        <f t="array" ref="A1">pivots</f>
        <v>#NAME?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Questions &amp; KPIs</vt:lpstr>
      <vt:lpstr>KPIs 1</vt:lpstr>
      <vt:lpstr>KPIs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Yash Sharma</cp:lastModifiedBy>
  <dcterms:created xsi:type="dcterms:W3CDTF">2025-06-13T02:42:26Z</dcterms:created>
  <dcterms:modified xsi:type="dcterms:W3CDTF">2026-08-21T06:23:52Z</dcterms:modified>
</cp:coreProperties>
</file>